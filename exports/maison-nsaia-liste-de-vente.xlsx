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À vend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"/>
  </numFmts>
  <fonts count="9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  <font>
      <name val="Arial"/>
      <color rgb="00C0392B"/>
      <sz val="10"/>
    </font>
    <font>
      <name val="Arial"/>
      <b val="1"/>
      <color rgb="00C0392B"/>
      <sz val="11"/>
    </font>
  </fonts>
  <fills count="12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1E8449"/>
      </patternFill>
    </fill>
    <fill>
      <patternFill patternType="solid">
        <fgColor rgb="00FBDDD8"/>
      </patternFill>
    </fill>
    <fill>
      <patternFill patternType="solid">
        <fgColor rgb="00F7F7F7"/>
      </patternFill>
    </fill>
    <fill>
      <patternFill patternType="solid">
        <fgColor rgb="005D6D7E"/>
      </patternFill>
    </fill>
    <fill>
      <patternFill patternType="solid">
        <fgColor rgb="00C0392B"/>
      </patternFill>
    </fill>
    <fill>
      <patternFill patternType="solid">
        <fgColor rgb="00D5F0DC"/>
      </patternFill>
    </fill>
    <fill>
      <patternFill patternType="solid">
        <fgColor rgb="007F8C8D"/>
      </patternFill>
    </fill>
    <fill>
      <patternFill patternType="solid">
        <fgColor rgb="00B7950B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pivotButton="0" quotePrefix="0" xfId="0"/>
    <xf numFmtId="0" fontId="0" fillId="3" borderId="1" pivotButton="0" quotePrefix="0" xfId="0"/>
    <xf numFmtId="0" fontId="5" fillId="0" borderId="1" pivotButton="0" quotePrefix="0" xfId="0"/>
    <xf numFmtId="164" fontId="6" fillId="0" borderId="1" applyAlignment="1" pivotButton="0" quotePrefix="0" xfId="0">
      <alignment horizontal="right"/>
    </xf>
    <xf numFmtId="164" fontId="6" fillId="4" borderId="1" applyAlignment="1" pivotButton="0" quotePrefix="0" xfId="0">
      <alignment horizontal="right"/>
    </xf>
    <xf numFmtId="164" fontId="7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0" fontId="2" fillId="0" borderId="1" pivotButton="0" quotePrefix="0" xfId="0"/>
    <xf numFmtId="0" fontId="0" fillId="0" borderId="1" pivotButton="0" quotePrefix="0" xfId="0"/>
    <xf numFmtId="0" fontId="5" fillId="5" borderId="1" pivotButton="0" quotePrefix="0" xfId="0"/>
    <xf numFmtId="164" fontId="6" fillId="5" borderId="1" applyAlignment="1" pivotButton="0" quotePrefix="0" xfId="0">
      <alignment horizontal="right"/>
    </xf>
    <xf numFmtId="164" fontId="7" fillId="5" borderId="1" applyAlignment="1" pivotButton="0" quotePrefix="0" xfId="0">
      <alignment horizontal="right"/>
    </xf>
    <xf numFmtId="164" fontId="5" fillId="5" borderId="1" applyAlignment="1" pivotButton="0" quotePrefix="0" xfId="0">
      <alignment horizontal="right"/>
    </xf>
    <xf numFmtId="0" fontId="2" fillId="5" borderId="1" pivotButton="0" quotePrefix="0" xfId="0"/>
    <xf numFmtId="0" fontId="0" fillId="5" borderId="1" pivotButton="0" quotePrefix="0" xfId="0"/>
    <xf numFmtId="0" fontId="4" fillId="6" borderId="1" pivotButton="0" quotePrefix="0" xfId="0"/>
    <xf numFmtId="0" fontId="0" fillId="6" borderId="1" pivotButton="0" quotePrefix="0" xfId="0"/>
    <xf numFmtId="0" fontId="5" fillId="0" borderId="1" applyAlignment="1" pivotButton="0" quotePrefix="0" xfId="0">
      <alignment horizontal="right"/>
    </xf>
    <xf numFmtId="0" fontId="5" fillId="5" borderId="1" applyAlignment="1" pivotButton="0" quotePrefix="0" xfId="0">
      <alignment horizontal="right"/>
    </xf>
    <xf numFmtId="0" fontId="4" fillId="7" borderId="1" pivotButton="0" quotePrefix="0" xfId="0"/>
    <xf numFmtId="0" fontId="0" fillId="7" borderId="1" pivotButton="0" quotePrefix="0" xfId="0"/>
    <xf numFmtId="0" fontId="4" fillId="2" borderId="1" pivotButton="0" quotePrefix="0" xfId="0"/>
    <xf numFmtId="0" fontId="0" fillId="2" borderId="1" pivotButton="0" quotePrefix="0" xfId="0"/>
    <xf numFmtId="164" fontId="6" fillId="8" borderId="1" applyAlignment="1" pivotButton="0" quotePrefix="0" xfId="0">
      <alignment horizontal="right"/>
    </xf>
    <xf numFmtId="0" fontId="4" fillId="9" borderId="1" pivotButton="0" quotePrefix="0" xfId="0"/>
    <xf numFmtId="0" fontId="0" fillId="9" borderId="1" pivotButton="0" quotePrefix="0" xfId="0"/>
    <xf numFmtId="0" fontId="4" fillId="10" borderId="1" pivotButton="0" quotePrefix="0" xfId="0"/>
    <xf numFmtId="0" fontId="0" fillId="10" borderId="1" pivotButton="0" quotePrefix="0" xfId="0"/>
    <xf numFmtId="0" fontId="6" fillId="11" borderId="1" pivotButton="0" quotePrefix="0" xfId="0"/>
    <xf numFmtId="164" fontId="6" fillId="11" borderId="1" applyAlignment="1" pivotButton="0" quotePrefix="0" xfId="0">
      <alignment horizontal="right"/>
    </xf>
    <xf numFmtId="164" fontId="8" fillId="11" borderId="1" applyAlignment="1" pivotButton="0" quotePrefix="0" xfId="0">
      <alignment horizontal="right"/>
    </xf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6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11" customWidth="1" min="2" max="2"/>
    <col width="15" customWidth="1" min="3" max="3"/>
    <col width="14" customWidth="1" min="4" max="4"/>
    <col width="16" customWidth="1" min="5" max="5"/>
    <col width="30" customWidth="1" min="6" max="6"/>
    <col width="50" customWidth="1" min="7" max="7"/>
    <col width="8" customWidth="1" min="8" max="8"/>
  </cols>
  <sheetData>
    <row r="1">
      <c r="A1" s="1" t="inlineStr">
        <is>
          <t>Maison Nsaia — liste de vente</t>
        </is>
      </c>
    </row>
    <row r="2">
      <c r="A2" s="2" t="inlineStr">
        <is>
          <t>Une ligne = une annonce. La colonne URSSAF est le montant à provisionner dès l'encaissement.</t>
        </is>
      </c>
    </row>
    <row r="4" ht="22" customHeight="1">
      <c r="A4" s="3" t="inlineStr">
        <is>
          <t>Article</t>
        </is>
      </c>
      <c r="B4" s="3" t="inlineStr">
        <is>
          <t>PRIX</t>
        </is>
      </c>
      <c r="C4" s="3" t="inlineStr">
        <is>
          <t>MARGE / VENTE</t>
        </is>
      </c>
      <c r="D4" s="3" t="inlineStr">
        <is>
          <t>URSSAF 12,4 %</t>
        </is>
      </c>
      <c r="E4" s="3" t="inlineStr">
        <is>
          <t>Reste après URSSAF</t>
        </is>
      </c>
      <c r="F4" s="3" t="inlineStr">
        <is>
          <t>Où le vendre</t>
        </is>
      </c>
      <c r="G4" s="3" t="inlineStr">
        <is>
          <t>Note</t>
        </is>
      </c>
      <c r="H4" s="3" t="inlineStr">
        <is>
          <t>Fait</t>
        </is>
      </c>
    </row>
    <row r="5" ht="22" customHeight="1">
      <c r="A5" s="4" t="inlineStr">
        <is>
          <t>✅ VENDU — 587 € encaissés de clients réels</t>
        </is>
      </c>
      <c r="B5" s="5" t="n"/>
      <c r="C5" s="5" t="n"/>
      <c r="D5" s="5" t="n"/>
      <c r="E5" s="5" t="n"/>
      <c r="F5" s="5" t="n"/>
      <c r="G5" s="5" t="n"/>
      <c r="H5" s="5" t="n"/>
    </row>
    <row r="6">
      <c r="A6" s="6" t="inlineStr">
        <is>
          <t>T-shirt Balenciaga — T.2</t>
        </is>
      </c>
      <c r="B6" s="7" t="n">
        <v>155</v>
      </c>
      <c r="C6" s="8" t="n">
        <v>20.01</v>
      </c>
      <c r="D6" s="9">
        <f>B6*0.124</f>
        <v/>
      </c>
      <c r="E6" s="10">
        <f>B6-D6</f>
        <v/>
      </c>
      <c r="F6" s="6" t="inlineStr">
        <is>
          <t>Mme Aouimeur Siham, espèces</t>
        </is>
      </c>
      <c r="G6" s="11" t="inlineStr">
        <is>
          <t>Encaissé le 09/08 · corrigé 135 → 155 €</t>
        </is>
      </c>
      <c r="H6" s="12" t="n"/>
    </row>
    <row r="7">
      <c r="A7" s="13" t="inlineStr">
        <is>
          <t>Salomon X Ultra 5 Mid GTX — 44</t>
        </is>
      </c>
      <c r="B7" s="14" t="n">
        <v>100</v>
      </c>
      <c r="C7" s="8" t="n">
        <v>8.550000000000001</v>
      </c>
      <c r="D7" s="15">
        <f>B7*0.124</f>
        <v/>
      </c>
      <c r="E7" s="16">
        <f>B7-D7</f>
        <v/>
      </c>
      <c r="F7" s="13" t="inlineStr">
        <is>
          <t>Vinted, acheteur en Italie</t>
        </is>
      </c>
      <c r="G7" s="17" t="inlineStr">
        <is>
          <t>Vendue le 12/08 · expédiée le 14/08 · encaissée le 21/08</t>
        </is>
      </c>
      <c r="H7" s="18" t="n"/>
    </row>
    <row r="8">
      <c r="A8" s="6" t="inlineStr">
        <is>
          <t>Sac demi-lune Karl Lagerfeld Jeans</t>
        </is>
      </c>
      <c r="B8" s="7" t="n">
        <v>70</v>
      </c>
      <c r="C8" s="8" t="n">
        <v>11.32</v>
      </c>
      <c r="D8" s="9">
        <f>B8*0.124</f>
        <v/>
      </c>
      <c r="E8" s="10">
        <f>B8-D8</f>
        <v/>
      </c>
      <c r="F8" s="6" t="inlineStr">
        <is>
          <t>Mme Aouimeur Siham, espèces</t>
        </is>
      </c>
      <c r="G8" s="11" t="inlineStr">
        <is>
          <t>Encaissé le 09/08</t>
        </is>
      </c>
      <c r="H8" s="12" t="n"/>
    </row>
    <row r="9">
      <c r="A9" s="13" t="inlineStr">
        <is>
          <t>Lacoste sneakers — 42</t>
        </is>
      </c>
      <c r="B9" s="14" t="n">
        <v>70</v>
      </c>
      <c r="C9" s="8" t="n">
        <v>1.44</v>
      </c>
      <c r="D9" s="15">
        <f>B9*0.124</f>
        <v/>
      </c>
      <c r="E9" s="16">
        <f>B9-D9</f>
        <v/>
      </c>
      <c r="F9" s="13" t="inlineStr">
        <is>
          <t>Mme Aouimeur Siham, espèces</t>
        </is>
      </c>
      <c r="G9" s="17" t="inlineStr">
        <is>
          <t>Encaissé le 09/08 · marge +1,44 € seulement</t>
        </is>
      </c>
      <c r="H9" s="18" t="n"/>
    </row>
    <row r="10">
      <c r="A10" s="6" t="inlineStr">
        <is>
          <t>Veste en jean Armani Exchange — T.S</t>
        </is>
      </c>
      <c r="B10" s="7" t="n">
        <v>50</v>
      </c>
      <c r="C10" s="8" t="n">
        <v>16.23</v>
      </c>
      <c r="D10" s="9">
        <f>B10*0.124</f>
        <v/>
      </c>
      <c r="E10" s="10">
        <f>B10-D10</f>
        <v/>
      </c>
      <c r="F10" s="6" t="inlineStr">
        <is>
          <t>Mme Aouimeur Siham, espèces</t>
        </is>
      </c>
      <c r="G10" s="11" t="inlineStr">
        <is>
          <t>Encaissé le 09/08 · corrigé 40 → 50 €</t>
        </is>
      </c>
      <c r="H10" s="12" t="n"/>
    </row>
    <row r="11">
      <c r="A11" s="13" t="inlineStr">
        <is>
          <t>Havaianas Slim — paire 1, N. Gulitz (Allemagne)</t>
        </is>
      </c>
      <c r="B11" s="14" t="n">
        <v>14</v>
      </c>
      <c r="C11" s="8" t="n">
        <v>1.49</v>
      </c>
      <c r="D11" s="15">
        <f>B11*0.124</f>
        <v/>
      </c>
      <c r="E11" s="16">
        <f>B11-D11</f>
        <v/>
      </c>
      <c r="F11" s="13" t="inlineStr">
        <is>
          <t>Vinted</t>
        </is>
      </c>
      <c r="G11" s="17" t="inlineStr">
        <is>
          <t>Expédiée le 03/08 · encaissée le 10/08 · trop bas, passer à 18 €</t>
        </is>
      </c>
      <c r="H11" s="18" t="n"/>
    </row>
    <row r="12">
      <c r="A12" s="6" t="inlineStr">
        <is>
          <t>Havaianas Slim — paire 2, « colline_dvl »</t>
        </is>
      </c>
      <c r="B12" s="7" t="n">
        <v>14</v>
      </c>
      <c r="C12" s="8" t="n">
        <v>1.49</v>
      </c>
      <c r="D12" s="9">
        <f>B12*0.124</f>
        <v/>
      </c>
      <c r="E12" s="10">
        <f>B12-D12</f>
        <v/>
      </c>
      <c r="F12" s="6" t="inlineStr">
        <is>
          <t>Vinted</t>
        </is>
      </c>
      <c r="G12" s="11" t="inlineStr">
        <is>
          <t>Encaissée le 10/08 · trop bas, passer à 18 €</t>
        </is>
      </c>
      <c r="H12" s="12" t="n"/>
    </row>
    <row r="13" ht="22" customHeight="1">
      <c r="A13" s="19" t="inlineStr">
        <is>
          <t>🏠 PRÉLEVÉ — usage personnel, HORS chiffre d’affaires</t>
        </is>
      </c>
      <c r="B13" s="20" t="n"/>
      <c r="C13" s="20" t="n"/>
      <c r="D13" s="20" t="n"/>
      <c r="E13" s="20" t="n"/>
      <c r="F13" s="20" t="n"/>
      <c r="G13" s="20" t="n"/>
      <c r="H13" s="20" t="n"/>
    </row>
    <row r="14">
      <c r="A14" s="6" t="inlineStr">
        <is>
          <t>Baskets HOKA P.37⅓ — neuves</t>
        </is>
      </c>
      <c r="B14" s="21" t="inlineStr">
        <is>
          <t>—</t>
        </is>
      </c>
      <c r="C14" s="21" t="inlineStr">
        <is>
          <t>—</t>
        </is>
      </c>
      <c r="D14" s="21" t="inlineStr">
        <is>
          <t>—</t>
        </is>
      </c>
      <c r="E14" s="21" t="inlineStr">
        <is>
          <t>—</t>
        </is>
      </c>
      <c r="F14" s="6" t="inlineStr">
        <is>
          <t>Gardées le 09/08</t>
        </is>
      </c>
      <c r="G14" s="11" t="inlineStr">
        <is>
          <t>Coût 65,37 € · aucune recette, aucune URSSAF · sortie au registre des objets mobiliers</t>
        </is>
      </c>
      <c r="H14" s="12" t="n"/>
    </row>
    <row r="15">
      <c r="A15" s="13" t="inlineStr">
        <is>
          <t>Baskets NIKE Air Max Moto 2K P.44,5 — neuves</t>
        </is>
      </c>
      <c r="B15" s="22" t="inlineStr">
        <is>
          <t>—</t>
        </is>
      </c>
      <c r="C15" s="21" t="inlineStr">
        <is>
          <t>—</t>
        </is>
      </c>
      <c r="D15" s="22" t="inlineStr">
        <is>
          <t>—</t>
        </is>
      </c>
      <c r="E15" s="22" t="inlineStr">
        <is>
          <t>—</t>
        </is>
      </c>
      <c r="F15" s="13" t="inlineStr">
        <is>
          <t>Gardées le 09/08</t>
        </is>
      </c>
      <c r="G15" s="17" t="inlineStr">
        <is>
          <t>Coût 52,77 € · aucune recette, aucune URSSAF · sortie au registre des objets mobiliers</t>
        </is>
      </c>
      <c r="H15" s="18" t="n"/>
    </row>
    <row r="16">
      <c r="A16" s="6" t="inlineStr">
        <is>
          <t>Pompe ROBBY VP550W — ligne 131, mode auto seulement</t>
        </is>
      </c>
      <c r="B16" s="21" t="inlineStr">
        <is>
          <t>—</t>
        </is>
      </c>
      <c r="C16" s="21" t="inlineStr">
        <is>
          <t>—</t>
        </is>
      </c>
      <c r="D16" s="21" t="inlineStr">
        <is>
          <t>—</t>
        </is>
      </c>
      <c r="E16" s="21" t="inlineStr">
        <is>
          <t>—</t>
        </is>
      </c>
      <c r="F16" s="6" t="inlineStr">
        <is>
          <t>Gardée le 13/08</t>
        </is>
      </c>
      <c r="G16" s="11" t="inlineStr">
        <is>
          <t>Coût 19,41 € · la 3ᵉ pompe : deux sont à vendre, celle-ci est à toi</t>
        </is>
      </c>
      <c r="H16" s="12" t="n"/>
    </row>
    <row r="17">
      <c r="A17" s="13" t="inlineStr">
        <is>
          <t>Booster Pokémon High Class MEGA Dream ex M2a</t>
        </is>
      </c>
      <c r="B17" s="22" t="inlineStr">
        <is>
          <t>—</t>
        </is>
      </c>
      <c r="C17" s="21" t="inlineStr">
        <is>
          <t>—</t>
        </is>
      </c>
      <c r="D17" s="22" t="inlineStr">
        <is>
          <t>—</t>
        </is>
      </c>
      <c r="E17" s="22" t="inlineStr">
        <is>
          <t>—</t>
        </is>
      </c>
      <c r="F17" s="13" t="inlineStr">
        <is>
          <t>Gardé le 13/08</t>
        </is>
      </c>
      <c r="G17" s="17" t="inlineStr">
        <is>
          <t>Coût 12,95 € · invendable avec profit : marché à 12,99 €</t>
        </is>
      </c>
      <c r="H17" s="18" t="n"/>
    </row>
    <row r="18">
      <c r="A18" s="6" t="inlineStr">
        <is>
          <t>— TOTAL PRÉLEVÉ : 150,50 €, remboursé au compte pro en apport</t>
        </is>
      </c>
      <c r="B18" s="21" t="inlineStr">
        <is>
          <t>—</t>
        </is>
      </c>
      <c r="C18" s="21" t="inlineStr">
        <is>
          <t>—</t>
        </is>
      </c>
      <c r="D18" s="21" t="inlineStr">
        <is>
          <t>—</t>
        </is>
      </c>
      <c r="E18" s="21" t="inlineStr">
        <is>
          <t>—</t>
        </is>
      </c>
      <c r="F18" s="6" t="inlineStr">
        <is>
          <t>Apport, pas recette</t>
        </is>
      </c>
      <c r="G18" s="11" t="inlineStr">
        <is>
          <t>NE PAS DÉCLARER À L'URSSAF · un micro-entrepreneur ne se vend pas à lui-même</t>
        </is>
      </c>
      <c r="H18" s="12" t="n"/>
    </row>
    <row r="19" ht="22" customHeight="1">
      <c r="A19" s="23" t="inlineStr">
        <is>
          <t>1. URGENT — à publier cette semaine, la saison finit fin septembre</t>
        </is>
      </c>
      <c r="B19" s="24" t="n"/>
      <c r="C19" s="24" t="n"/>
      <c r="D19" s="24" t="n"/>
      <c r="E19" s="24" t="n"/>
      <c r="F19" s="24" t="n"/>
      <c r="G19" s="24" t="n"/>
      <c r="H19" s="24" t="n"/>
    </row>
    <row r="20">
      <c r="A20" s="6" t="inlineStr">
        <is>
          <t>Havaianas Slim fuchsia 35/36 — à l'unité, 9 restantes</t>
        </is>
      </c>
      <c r="B20" s="7" t="n">
        <v>18</v>
      </c>
      <c r="C20" s="8" t="n">
        <v>4.99</v>
      </c>
      <c r="D20" s="9">
        <f>B20*0.124</f>
        <v/>
      </c>
      <c r="E20" s="10">
        <f>B20-D20</f>
        <v/>
      </c>
      <c r="F20" s="6" t="inlineStr">
        <is>
          <t>Vinted + Leboncoin</t>
        </is>
      </c>
      <c r="G20" s="11" t="inlineStr">
        <is>
          <t>1 paire vendue 15 € sur Vinted à « amaliagogoi », encaissée le 10/09 · Moins cher du net 15 €/paire · 25 € par vente HORS D'ATTEINTE</t>
        </is>
      </c>
      <c r="H20" s="12" t="n"/>
    </row>
    <row r="21">
      <c r="A21" s="13" t="inlineStr">
        <is>
          <t>Short ba&amp;sh Fegor lightusedblue — T.34</t>
        </is>
      </c>
      <c r="B21" s="14" t="n">
        <v>75</v>
      </c>
      <c r="C21" s="8" t="n">
        <v>11.81</v>
      </c>
      <c r="D21" s="15">
        <f>B21*0.124</f>
        <v/>
      </c>
      <c r="E21" s="16">
        <f>B21-D21</f>
        <v/>
      </c>
      <c r="F21" s="13" t="inlineStr">
        <is>
          <t>Boutique + Leboncoin</t>
        </is>
      </c>
      <c r="G21" s="17" t="inlineStr">
        <is>
          <t>Moins cher du net ~75 € Modz · plafonné, ne peut pas monter</t>
        </is>
      </c>
      <c r="H21" s="18" t="n"/>
    </row>
    <row r="22">
      <c r="A22" s="6" t="inlineStr">
        <is>
          <t>Mrs.Ertha gilet de flottaison 3-6 ans — modèle écru</t>
        </is>
      </c>
      <c r="B22" s="7" t="n">
        <v>34</v>
      </c>
      <c r="C22" s="8" t="n">
        <v>17.96</v>
      </c>
      <c r="D22" s="9">
        <f>B22*0.124</f>
        <v/>
      </c>
      <c r="E22" s="10">
        <f>B22-D22</f>
        <v/>
      </c>
      <c r="F22" s="6" t="inlineStr">
        <is>
          <t>Leboncoin + Vinted</t>
        </is>
      </c>
      <c r="G22" s="11" t="inlineStr">
        <is>
          <t>PRIX CORRIGÉ 19 → 34 € · neuf 37,50 € · vérifier marquage CE</t>
        </is>
      </c>
      <c r="H22" s="12" t="n"/>
    </row>
    <row r="23">
      <c r="A23" s="13" t="inlineStr">
        <is>
          <t>Mrs.Ertha gilet de flottaison 3-6 ans — modèle vichy</t>
        </is>
      </c>
      <c r="B23" s="14" t="n">
        <v>34</v>
      </c>
      <c r="C23" s="8" t="n">
        <v>17.96</v>
      </c>
      <c r="D23" s="15">
        <f>B23*0.124</f>
        <v/>
      </c>
      <c r="E23" s="16">
        <f>B23-D23</f>
        <v/>
      </c>
      <c r="F23" s="13" t="inlineStr">
        <is>
          <t>Leboncoin + Vinted</t>
        </is>
      </c>
      <c r="G23" s="17" t="inlineStr">
        <is>
          <t>PRIX CORRIGÉ 19 → 34 € · neuf 37,50 € · vérifier marquage CE</t>
        </is>
      </c>
      <c r="H23" s="18" t="n"/>
    </row>
    <row r="24">
      <c r="A24" s="6" t="inlineStr">
        <is>
          <t>Mrs.Ertha gilet de flottaison 3-6 ans — 2ᵉ écru</t>
        </is>
      </c>
      <c r="B24" s="7" t="n">
        <v>34</v>
      </c>
      <c r="C24" s="8" t="n">
        <v>17.96</v>
      </c>
      <c r="D24" s="9">
        <f>B24*0.124</f>
        <v/>
      </c>
      <c r="E24" s="10">
        <f>B24-D24</f>
        <v/>
      </c>
      <c r="F24" s="6" t="inlineStr">
        <is>
          <t>Leboncoin + Vinted</t>
        </is>
      </c>
      <c r="G24" s="11" t="inlineStr">
        <is>
          <t>À publier quand le 1ᵉʳ est vendu</t>
        </is>
      </c>
      <c r="H24" s="12" t="n"/>
    </row>
    <row r="25">
      <c r="A25" s="13" t="inlineStr">
        <is>
          <t>Mrs.Ertha gilet de flottaison 3-6 ans — 2ᵉ vichy</t>
        </is>
      </c>
      <c r="B25" s="14" t="n">
        <v>34</v>
      </c>
      <c r="C25" s="8" t="n">
        <v>17.96</v>
      </c>
      <c r="D25" s="15">
        <f>B25*0.124</f>
        <v/>
      </c>
      <c r="E25" s="16">
        <f>B25-D25</f>
        <v/>
      </c>
      <c r="F25" s="13" t="inlineStr">
        <is>
          <t>Leboncoin + Vinted</t>
        </is>
      </c>
      <c r="G25" s="17" t="inlineStr">
        <is>
          <t>OU les quatre en un lot à 136 € : 71,87 € en une seule vente</t>
        </is>
      </c>
      <c r="H25" s="18" t="n"/>
    </row>
    <row r="26" ht="22" customHeight="1">
      <c r="A26" s="25" t="inlineStr">
        <is>
          <t>2. À PUBLIER MAINTENANT — les pièces qui rapportent</t>
        </is>
      </c>
      <c r="B26" s="26" t="n"/>
      <c r="C26" s="26" t="n"/>
      <c r="D26" s="26" t="n"/>
      <c r="E26" s="26" t="n"/>
      <c r="F26" s="26" t="n"/>
      <c r="G26" s="26" t="n"/>
      <c r="H26" s="26" t="n"/>
    </row>
    <row r="27">
      <c r="A27" s="6" t="inlineStr">
        <is>
          <t>Bottes Forma Legacy Waterproof — 45</t>
        </is>
      </c>
      <c r="B27" s="7" t="n">
        <v>159</v>
      </c>
      <c r="C27" s="27" t="n">
        <v>71.53</v>
      </c>
      <c r="D27" s="9">
        <f>B27*0.124</f>
        <v/>
      </c>
      <c r="E27" s="10">
        <f>B27-D27</f>
        <v/>
      </c>
      <c r="F27" s="6" t="inlineStr">
        <is>
          <t>Boutique + Vinted + Leboncoin</t>
        </is>
      </c>
      <c r="G27" s="11" t="inlineStr">
        <is>
          <t>Neuves 172,49 € Dafy Moto</t>
        </is>
      </c>
      <c r="H27" s="12" t="n"/>
    </row>
    <row r="28">
      <c r="A28" s="13" t="inlineStr">
        <is>
          <t>BMW Overall ProRain unisexe noir — XL</t>
        </is>
      </c>
      <c r="B28" s="14" t="n">
        <v>139</v>
      </c>
      <c r="C28" s="27" t="n">
        <v>50.83</v>
      </c>
      <c r="D28" s="15">
        <f>B28*0.124</f>
        <v/>
      </c>
      <c r="E28" s="16">
        <f>B28-D28</f>
        <v/>
      </c>
      <c r="F28" s="13" t="inlineStr">
        <is>
          <t>Leboncoin + Vinted</t>
        </is>
      </c>
      <c r="G28" s="17" t="inlineStr">
        <is>
          <t>Neuf 170 €</t>
        </is>
      </c>
      <c r="H28" s="18" t="n"/>
    </row>
    <row r="29">
      <c r="A29" s="6" t="inlineStr">
        <is>
          <t>Robe Elisabetta Franchi ivoire — 46 IT / 42 FR</t>
        </is>
      </c>
      <c r="B29" s="7" t="n">
        <v>99</v>
      </c>
      <c r="C29" s="27" t="n">
        <v>62.42</v>
      </c>
      <c r="D29" s="9">
        <f>B29*0.124</f>
        <v/>
      </c>
      <c r="E29" s="10">
        <f>B29-D29</f>
        <v/>
      </c>
      <c r="F29" s="6" t="inlineStr">
        <is>
          <t>Boutique</t>
        </is>
      </c>
      <c r="G29" s="11" t="inlineStr">
        <is>
          <t>Défroisser avant photos</t>
        </is>
      </c>
      <c r="H29" s="12" t="n"/>
    </row>
    <row r="30">
      <c r="A30" s="13" t="inlineStr">
        <is>
          <t>Jupe Sonia Rykiel midi twill cerises — 34</t>
        </is>
      </c>
      <c r="B30" s="14" t="n">
        <v>99</v>
      </c>
      <c r="C30" s="27" t="n">
        <v>45.07</v>
      </c>
      <c r="D30" s="15">
        <f>B30*0.124</f>
        <v/>
      </c>
      <c r="E30" s="16">
        <f>B30-D30</f>
        <v/>
      </c>
      <c r="F30" s="13" t="inlineStr">
        <is>
          <t>Boutique</t>
        </is>
      </c>
      <c r="G30" s="17" t="inlineStr">
        <is>
          <t>Vérifier composition sur l'étiquette</t>
        </is>
      </c>
      <c r="H30" s="18" t="n"/>
    </row>
    <row r="31">
      <c r="A31" s="6" t="inlineStr">
        <is>
          <t>Blazer Karl Lagerfeld punto noir — 36 FR / IT 40</t>
        </is>
      </c>
      <c r="B31" s="7" t="n">
        <v>91</v>
      </c>
      <c r="C31" s="27" t="n">
        <v>25.58</v>
      </c>
      <c r="D31" s="9">
        <f>B31*0.124</f>
        <v/>
      </c>
      <c r="E31" s="10">
        <f>B31-D31</f>
        <v/>
      </c>
      <c r="F31" s="6" t="inlineStr">
        <is>
          <t>Boutique</t>
        </is>
      </c>
      <c r="G31" s="11" t="inlineStr">
        <is>
          <t>89 → 91 € · neuf dès 229 € Modalova — À RECONFIRMER avant publication</t>
        </is>
      </c>
      <c r="H31" s="12" t="n"/>
    </row>
    <row r="32">
      <c r="A32" s="13" t="inlineStr">
        <is>
          <t>Adidas Predator Edge.1 TF — 48⅔ — 1ʳᵉ paire</t>
        </is>
      </c>
      <c r="B32" s="14" t="n">
        <v>89</v>
      </c>
      <c r="C32" s="27" t="n">
        <v>56.7</v>
      </c>
      <c r="D32" s="15">
        <f>B32*0.124</f>
        <v/>
      </c>
      <c r="E32" s="16">
        <f>B32-D32</f>
        <v/>
      </c>
      <c r="F32" s="13" t="inlineStr">
        <is>
          <t>eBay + Leboncoin</t>
        </is>
      </c>
      <c r="G32" s="17" t="inlineStr">
        <is>
          <t>Une annonce par paire</t>
        </is>
      </c>
      <c r="H32" s="18" t="n"/>
    </row>
    <row r="33">
      <c r="A33" s="6" t="inlineStr">
        <is>
          <t>Adidas Predator Edge.1 TF — 48⅔ — 2ᵉ paire</t>
        </is>
      </c>
      <c r="B33" s="7" t="n">
        <v>89</v>
      </c>
      <c r="C33" s="27" t="n">
        <v>56.7</v>
      </c>
      <c r="D33" s="9">
        <f>B33*0.124</f>
        <v/>
      </c>
      <c r="E33" s="10">
        <f>B33-D33</f>
        <v/>
      </c>
      <c r="F33" s="6" t="inlineStr">
        <is>
          <t>eBay + Leboncoin</t>
        </is>
      </c>
      <c r="G33" s="11" t="inlineStr">
        <is>
          <t>Une annonce par paire</t>
        </is>
      </c>
      <c r="H33" s="12" t="n"/>
    </row>
    <row r="34">
      <c r="A34" s="13" t="inlineStr">
        <is>
          <t>Robe Sandro Noaim blanche — 40</t>
        </is>
      </c>
      <c r="B34" s="14" t="n">
        <v>89</v>
      </c>
      <c r="C34" s="27" t="n">
        <v>36.46</v>
      </c>
      <c r="D34" s="15">
        <f>B34*0.124</f>
        <v/>
      </c>
      <c r="E34" s="16">
        <f>B34-D34</f>
        <v/>
      </c>
      <c r="F34" s="13" t="inlineStr">
        <is>
          <t>Boutique</t>
        </is>
      </c>
      <c r="G34" s="17" t="inlineStr">
        <is>
          <t>Retirer de Vinted d'abord</t>
        </is>
      </c>
      <c r="H34" s="18" t="n"/>
    </row>
    <row r="35">
      <c r="A35" s="6" t="inlineStr">
        <is>
          <t>Plein Sport montante blanc / violet — 40</t>
        </is>
      </c>
      <c r="B35" s="7" t="n">
        <v>95</v>
      </c>
      <c r="C35" s="8" t="n">
        <v>23.34</v>
      </c>
      <c r="D35" s="9">
        <f>B35*0.124</f>
        <v/>
      </c>
      <c r="E35" s="10">
        <f>B35-D35</f>
        <v/>
      </c>
      <c r="F35" s="6" t="inlineStr">
        <is>
          <t>Leboncoin + eBay</t>
        </is>
      </c>
      <c r="G35" s="11" t="inlineStr">
        <is>
          <t>89 → 95 € · marché ~100 € Stylight, VÉRIFIER avant de publier</t>
        </is>
      </c>
      <c r="H35" s="12" t="n"/>
    </row>
    <row r="36">
      <c r="A36" s="13" t="inlineStr">
        <is>
          <t>Ballerines Hogan 186 Zeppa Fashion — 36</t>
        </is>
      </c>
      <c r="B36" s="14" t="n">
        <v>79</v>
      </c>
      <c r="C36" s="27" t="n">
        <v>53.05</v>
      </c>
      <c r="D36" s="15">
        <f>B36*0.124</f>
        <v/>
      </c>
      <c r="E36" s="16">
        <f>B36-D36</f>
        <v/>
      </c>
      <c r="F36" s="13" t="inlineStr">
        <is>
          <t>Boutique</t>
        </is>
      </c>
      <c r="G36" s="17" t="inlineStr">
        <is>
          <t>Nettoyées : « aucune trace visible », PAS « neuves »</t>
        </is>
      </c>
      <c r="H36" s="18" t="n"/>
    </row>
    <row r="37">
      <c r="A37" s="6" t="inlineStr">
        <is>
          <t>Baskets adidas by Stella McCartney UB21 — 36</t>
        </is>
      </c>
      <c r="B37" s="7" t="n">
        <v>79</v>
      </c>
      <c r="C37" s="27" t="n">
        <v>27.85</v>
      </c>
      <c r="D37" s="9">
        <f>B37*0.124</f>
        <v/>
      </c>
      <c r="E37" s="10">
        <f>B37-D37</f>
        <v/>
      </c>
      <c r="F37" s="6" t="inlineStr">
        <is>
          <t>Boutique</t>
        </is>
      </c>
      <c r="G37" s="11" t="inlineStr">
        <is>
          <t>Neuf 94 € eBay.de</t>
        </is>
      </c>
      <c r="H37" s="12" t="n"/>
    </row>
    <row r="38">
      <c r="A38" s="13" t="inlineStr">
        <is>
          <t>Robe bustier Chiara Ferragni noire — M</t>
        </is>
      </c>
      <c r="B38" s="14" t="n">
        <v>69</v>
      </c>
      <c r="C38" s="27" t="n">
        <v>25.09</v>
      </c>
      <c r="D38" s="15">
        <f>B38*0.124</f>
        <v/>
      </c>
      <c r="E38" s="16">
        <f>B38-D38</f>
        <v/>
      </c>
      <c r="F38" s="13" t="inlineStr">
        <is>
          <t>Boutique + Leboncoin</t>
        </is>
      </c>
      <c r="G38" s="17" t="inlineStr"/>
      <c r="H38" s="18" t="n"/>
    </row>
    <row r="39">
      <c r="A39" s="6" t="inlineStr">
        <is>
          <t>Robe Pier Antonio Gaspari bleu marine — 42</t>
        </is>
      </c>
      <c r="B39" s="7" t="n">
        <v>62</v>
      </c>
      <c r="C39" s="27" t="n">
        <v>25.46</v>
      </c>
      <c r="D39" s="9">
        <f>B39*0.124</f>
        <v/>
      </c>
      <c r="E39" s="10">
        <f>B39-D39</f>
        <v/>
      </c>
      <c r="F39" s="6" t="inlineStr">
        <is>
          <t>Boutique + Leboncoin</t>
        </is>
      </c>
      <c r="G39" s="11" t="inlineStr">
        <is>
          <t>59 → 62 € · orthographe : Pier ANTONIO</t>
        </is>
      </c>
      <c r="H39" s="12" t="n"/>
    </row>
    <row r="40">
      <c r="A40" s="13" t="inlineStr">
        <is>
          <t>✅ VENDUE — Ballerines Massimo Dutti cuir rouge — 40 IT</t>
        </is>
      </c>
      <c r="B40" s="14" t="n">
        <v>50</v>
      </c>
      <c r="C40" s="27" t="n">
        <v>25.87</v>
      </c>
      <c r="D40" s="15">
        <f>B40*0.124</f>
        <v/>
      </c>
      <c r="E40" s="16">
        <f>B40-D40</f>
        <v/>
      </c>
      <c r="F40" s="13" t="inlineStr">
        <is>
          <t>Vinted</t>
        </is>
      </c>
      <c r="G40" s="17" t="inlineStr">
        <is>
          <t>Vendue 50 € le 17/10 sur Vinted à « anavdlr » · en attente d'encaissement</t>
        </is>
      </c>
      <c r="H40" s="18" t="n"/>
    </row>
    <row r="41">
      <c r="A41" s="6" t="inlineStr">
        <is>
          <t>Toupies Beyblade Hasbro — LOT de 4, lot n°159</t>
        </is>
      </c>
      <c r="B41" s="7" t="n">
        <v>55</v>
      </c>
      <c r="C41" s="27" t="n">
        <v>26.64</v>
      </c>
      <c r="D41" s="9">
        <f>B41*0.124</f>
        <v/>
      </c>
      <c r="E41" s="10">
        <f>B41-D41</f>
        <v/>
      </c>
      <c r="F41" s="6" t="inlineStr">
        <is>
          <t>Leboncoin + Vinted</t>
        </is>
      </c>
      <c r="G41" s="11" t="inlineStr">
        <is>
          <t>49 → 55 € · CONFIRMER le prix des 4 toupies sur leDénicheur</t>
        </is>
      </c>
      <c r="H41" s="12" t="n"/>
    </row>
    <row r="42">
      <c r="A42" s="13" t="inlineStr">
        <is>
          <t>Baskets Geox gris / argent — 35</t>
        </is>
      </c>
      <c r="B42" s="14" t="n">
        <v>54</v>
      </c>
      <c r="C42" s="8" t="n">
        <v>23.2</v>
      </c>
      <c r="D42" s="15">
        <f>B42*0.124</f>
        <v/>
      </c>
      <c r="E42" s="16">
        <f>B42-D42</f>
        <v/>
      </c>
      <c r="F42" s="13" t="inlineStr">
        <is>
          <t>Leboncoin + eBay</t>
        </is>
      </c>
      <c r="G42" s="17" t="inlineStr">
        <is>
          <t>49 → 54 € · marché 55 €, plafond atteint</t>
        </is>
      </c>
      <c r="H42" s="18" t="n"/>
    </row>
    <row r="43">
      <c r="A43" s="6" t="inlineStr">
        <is>
          <t>Morgan — jean bleu clair T.40</t>
        </is>
      </c>
      <c r="B43" s="7" t="n">
        <v>19</v>
      </c>
      <c r="C43" s="8" t="n">
        <v>7.98</v>
      </c>
      <c r="D43" s="9">
        <f>B43*0.124</f>
        <v/>
      </c>
      <c r="E43" s="10">
        <f>B43-D43</f>
        <v/>
      </c>
      <c r="F43" s="6" t="inlineStr">
        <is>
          <t>Leboncoin + eBay</t>
        </is>
      </c>
      <c r="G43" s="11" t="inlineStr">
        <is>
          <t>À l'unité : 25 € par vente impossible</t>
        </is>
      </c>
      <c r="H43" s="12" t="n"/>
    </row>
    <row r="44">
      <c r="A44" s="13" t="inlineStr">
        <is>
          <t>Morgan — jupe marron</t>
        </is>
      </c>
      <c r="B44" s="14" t="n">
        <v>19</v>
      </c>
      <c r="C44" s="8" t="n">
        <v>7.98</v>
      </c>
      <c r="D44" s="15">
        <f>B44*0.124</f>
        <v/>
      </c>
      <c r="E44" s="16">
        <f>B44-D44</f>
        <v/>
      </c>
      <c r="F44" s="13" t="inlineStr">
        <is>
          <t>Leboncoin + eBay</t>
        </is>
      </c>
      <c r="G44" s="17" t="inlineStr"/>
      <c r="H44" s="18" t="n"/>
    </row>
    <row r="45">
      <c r="A45" s="6" t="inlineStr">
        <is>
          <t>Morgan — pantalon blanc T.40</t>
        </is>
      </c>
      <c r="B45" s="7" t="n">
        <v>15</v>
      </c>
      <c r="C45" s="8" t="n">
        <v>4.47</v>
      </c>
      <c r="D45" s="9">
        <f>B45*0.124</f>
        <v/>
      </c>
      <c r="E45" s="10">
        <f>B45-D45</f>
        <v/>
      </c>
      <c r="F45" s="6" t="inlineStr">
        <is>
          <t>Leboncoin + eBay</t>
        </is>
      </c>
      <c r="G45" s="11" t="inlineStr"/>
      <c r="H45" s="12" t="n"/>
    </row>
    <row r="46">
      <c r="A46" s="13" t="inlineStr">
        <is>
          <t>Morgan — polo rouge à écusson doré L</t>
        </is>
      </c>
      <c r="B46" s="14" t="n">
        <v>15</v>
      </c>
      <c r="C46" s="8" t="n">
        <v>4.47</v>
      </c>
      <c r="D46" s="15">
        <f>B46*0.124</f>
        <v/>
      </c>
      <c r="E46" s="16">
        <f>B46-D46</f>
        <v/>
      </c>
      <c r="F46" s="13" t="inlineStr">
        <is>
          <t>Leboncoin + eBay</t>
        </is>
      </c>
      <c r="G46" s="17" t="inlineStr"/>
      <c r="H46" s="18" t="n"/>
    </row>
    <row r="47">
      <c r="A47" s="6" t="inlineStr">
        <is>
          <t>Morgan — top camel lurex L</t>
        </is>
      </c>
      <c r="B47" s="7" t="n">
        <v>15</v>
      </c>
      <c r="C47" s="8" t="n">
        <v>4.47</v>
      </c>
      <c r="D47" s="9">
        <f>B47*0.124</f>
        <v/>
      </c>
      <c r="E47" s="10">
        <f>B47-D47</f>
        <v/>
      </c>
      <c r="F47" s="6" t="inlineStr">
        <is>
          <t>Leboncoin + eBay</t>
        </is>
      </c>
      <c r="G47" s="11" t="inlineStr">
        <is>
          <t>OU les six en un lot à 98 € : 33,85 € en une seule vente</t>
        </is>
      </c>
      <c r="H47" s="12" t="n"/>
    </row>
    <row r="48">
      <c r="A48" s="13" t="inlineStr">
        <is>
          <t>Morgan — polo blanc L</t>
        </is>
      </c>
      <c r="B48" s="14" t="n">
        <v>15</v>
      </c>
      <c r="C48" s="8" t="n">
        <v>4.47</v>
      </c>
      <c r="D48" s="15">
        <f>B48*0.124</f>
        <v/>
      </c>
      <c r="E48" s="16">
        <f>B48-D48</f>
        <v/>
      </c>
      <c r="F48" s="13" t="inlineStr">
        <is>
          <t>Leboncoin + eBay</t>
        </is>
      </c>
      <c r="G48" s="17" t="inlineStr"/>
      <c r="H48" s="18" t="n"/>
    </row>
    <row r="49">
      <c r="A49" s="6" t="inlineStr">
        <is>
          <t>Robby VP550W pompe immergée — ligne 84, occasion</t>
        </is>
      </c>
      <c r="B49" s="7" t="n">
        <v>45</v>
      </c>
      <c r="C49" s="8" t="n">
        <v>3.52</v>
      </c>
      <c r="D49" s="9">
        <f>B49*0.124</f>
        <v/>
      </c>
      <c r="E49" s="10">
        <f>B49-D49</f>
        <v/>
      </c>
      <c r="F49" s="6" t="inlineStr">
        <is>
          <t>Leboncoin, main propre</t>
        </is>
      </c>
      <c r="G49" s="11" t="inlineStr">
        <is>
          <t>Neuve 54,90 € : plafonné · tester avant de publier</t>
        </is>
      </c>
      <c r="H49" s="12" t="n"/>
    </row>
    <row r="50">
      <c r="A50" s="13" t="inlineStr">
        <is>
          <t>Robby VP550W pompe immergée — ligne 122, SOCLE CASSÉ</t>
        </is>
      </c>
      <c r="B50" s="14" t="n">
        <v>35</v>
      </c>
      <c r="C50" s="8" t="n">
        <v>2.37</v>
      </c>
      <c r="D50" s="15">
        <f>B50*0.124</f>
        <v/>
      </c>
      <c r="E50" s="16">
        <f>B50-D50</f>
        <v/>
      </c>
      <c r="F50" s="13" t="inlineStr">
        <is>
          <t>Leboncoin, main propre</t>
        </is>
      </c>
      <c r="G50" s="17" t="inlineStr">
        <is>
          <t>DÉFAUT À DÉCLARER + photo du socle · JAMAIS d'expédition</t>
        </is>
      </c>
      <c r="H50" s="18" t="n"/>
    </row>
    <row r="51">
      <c r="A51" s="6" t="inlineStr">
        <is>
          <t>Toupies Beyblade Hasbro — LOT de 4, lot n°299</t>
        </is>
      </c>
      <c r="B51" s="7" t="n">
        <v>55</v>
      </c>
      <c r="C51" s="8" t="n">
        <v>7.47</v>
      </c>
      <c r="D51" s="9">
        <f>B51*0.124</f>
        <v/>
      </c>
      <c r="E51" s="10">
        <f>B51-D51</f>
        <v/>
      </c>
      <c r="F51" s="6" t="inlineStr">
        <is>
          <t>Leboncoin + Vinted</t>
        </is>
      </c>
      <c r="G51" s="11" t="inlineStr">
        <is>
          <t>Payé 40,71 € au lieu de 21,54 € : le lot jumeau plafonne la marge</t>
        </is>
      </c>
      <c r="H51" s="12" t="n"/>
    </row>
    <row r="52" ht="22" customHeight="1">
      <c r="A52" s="28" t="inlineStr">
        <is>
          <t>3. LIQUIDER — vendre pour récupérer la trésorerie, pas pour la marge</t>
        </is>
      </c>
      <c r="B52" s="29" t="n"/>
      <c r="C52" s="29" t="n"/>
      <c r="D52" s="29" t="n"/>
      <c r="E52" s="29" t="n"/>
      <c r="F52" s="29" t="n"/>
      <c r="G52" s="29" t="n"/>
      <c r="H52" s="29" t="n"/>
    </row>
    <row r="53">
      <c r="A53" s="6" t="inlineStr">
        <is>
          <t>✅ VENDUE — New Balance GS 1906 Alkaline Green — 38½</t>
        </is>
      </c>
      <c r="B53" s="7" t="n">
        <v>99</v>
      </c>
      <c r="C53" s="8" t="n">
        <v>8.76</v>
      </c>
      <c r="D53" s="9">
        <f>B53*0.124</f>
        <v/>
      </c>
      <c r="E53" s="10">
        <f>B53-D53</f>
        <v/>
      </c>
      <c r="F53" s="6" t="inlineStr">
        <is>
          <t>Vinted</t>
        </is>
      </c>
      <c r="G53" s="11" t="inlineStr">
        <is>
          <t>Vendue 99 € sur Vinted à « Calvimo » · encaissée le 10/09</t>
        </is>
      </c>
      <c r="H53" s="12" t="inlineStr">
        <is>
          <t>✓</t>
        </is>
      </c>
    </row>
    <row r="54">
      <c r="A54" s="13" t="inlineStr">
        <is>
          <t>Baskets Emporio Armani bleu lavande — 36</t>
        </is>
      </c>
      <c r="B54" s="14" t="n">
        <v>69</v>
      </c>
      <c r="C54" s="8" t="n">
        <v>6.96</v>
      </c>
      <c r="D54" s="15">
        <f>B54*0.124</f>
        <v/>
      </c>
      <c r="E54" s="16">
        <f>B54-D54</f>
        <v/>
      </c>
      <c r="F54" s="13" t="inlineStr">
        <is>
          <t>Leboncoin</t>
        </is>
      </c>
      <c r="G54" s="17" t="inlineStr">
        <is>
          <t>AU-DESSUS du marché 62 € eBay — à trancher</t>
        </is>
      </c>
      <c r="H54" s="18" t="n"/>
    </row>
    <row r="55">
      <c r="A55" s="6" t="inlineStr">
        <is>
          <t>Tommy Jeans baskets basses noir / blanc — 40</t>
        </is>
      </c>
      <c r="B55" s="7" t="n">
        <v>65</v>
      </c>
      <c r="C55" s="8" t="n">
        <v>2.17</v>
      </c>
      <c r="D55" s="9">
        <f>B55*0.124</f>
        <v/>
      </c>
      <c r="E55" s="10">
        <f>B55-D55</f>
        <v/>
      </c>
      <c r="F55" s="6" t="inlineStr">
        <is>
          <t>Leboncoin + eBay</t>
        </is>
      </c>
      <c r="G55" s="11" t="inlineStr">
        <is>
          <t>AU-DESSUS du marché 60 € Stylight — à trancher</t>
        </is>
      </c>
      <c r="H55" s="12" t="n"/>
    </row>
    <row r="56">
      <c r="A56" s="13" t="inlineStr">
        <is>
          <t>New Balance 650 blanche montante — 44</t>
        </is>
      </c>
      <c r="B56" s="14" t="n">
        <v>65</v>
      </c>
      <c r="C56" s="8" t="n">
        <v>3.45</v>
      </c>
      <c r="D56" s="15">
        <f>B56*0.124</f>
        <v/>
      </c>
      <c r="E56" s="16">
        <f>B56-D56</f>
        <v/>
      </c>
      <c r="F56" s="13" t="inlineStr">
        <is>
          <t>Leboncoin</t>
        </is>
      </c>
      <c r="G56" s="17" t="inlineStr">
        <is>
          <t>AU-DESSUS du marché 61 € idealo — à trancher</t>
        </is>
      </c>
      <c r="H56" s="18" t="n"/>
    </row>
    <row r="57">
      <c r="A57" s="6" t="inlineStr">
        <is>
          <t>New Balance BB80 blanc / marine — 38</t>
        </is>
      </c>
      <c r="B57" s="7" t="n">
        <v>54</v>
      </c>
      <c r="C57" s="8" t="n">
        <v>6.6</v>
      </c>
      <c r="D57" s="9">
        <f>B57*0.124</f>
        <v/>
      </c>
      <c r="E57" s="10">
        <f>B57-D57</f>
        <v/>
      </c>
      <c r="F57" s="6" t="inlineStr">
        <is>
          <t>Leboncoin</t>
        </is>
      </c>
      <c r="G57" s="11" t="inlineStr">
        <is>
          <t>Marché 54,99 € idealo : plafond atteint</t>
        </is>
      </c>
      <c r="H57" s="12" t="n"/>
    </row>
    <row r="58" ht="22" customHeight="1">
      <c r="A58" s="28" t="inlineStr">
        <is>
          <t>5. POKÉMON — import du Japon, marges minces</t>
        </is>
      </c>
      <c r="B58" s="29" t="n"/>
      <c r="C58" s="29" t="n"/>
      <c r="D58" s="29" t="n"/>
      <c r="E58" s="29" t="n"/>
      <c r="F58" s="29" t="n"/>
      <c r="G58" s="29" t="n"/>
      <c r="H58" s="29" t="n"/>
    </row>
    <row r="59">
      <c r="A59" s="6" t="inlineStr">
        <is>
          <t>Boosters Nihil Zero M3 — LOT de 15, n°1</t>
        </is>
      </c>
      <c r="B59" s="7" t="n">
        <v>49</v>
      </c>
      <c r="C59" s="8" t="n">
        <v>8.300000000000001</v>
      </c>
      <c r="D59" s="9">
        <f>B59*0.124</f>
        <v/>
      </c>
      <c r="E59" s="10">
        <f>B59-D59</f>
        <v/>
      </c>
      <c r="F59" s="6" t="inlineStr">
        <is>
          <t>Leboncoin, main propre</t>
        </is>
      </c>
      <c r="G59" s="11" t="inlineStr">
        <is>
          <t>PHOTOGRAPHIER LE BLISTER SCELLÉ avant d'ouvrir la box</t>
        </is>
      </c>
      <c r="H59" s="12" t="n"/>
    </row>
    <row r="60">
      <c r="A60" s="13" t="inlineStr">
        <is>
          <t>Boosters Nihil Zero M3 — LOT de 15, n°2</t>
        </is>
      </c>
      <c r="B60" s="14" t="n">
        <v>49</v>
      </c>
      <c r="C60" s="8" t="n">
        <v>8.300000000000001</v>
      </c>
      <c r="D60" s="15">
        <f>B60*0.124</f>
        <v/>
      </c>
      <c r="E60" s="16">
        <f>B60-D60</f>
        <v/>
      </c>
      <c r="F60" s="13" t="inlineStr">
        <is>
          <t>Leboncoin, main propre</t>
        </is>
      </c>
      <c r="G60" s="17" t="inlineStr">
        <is>
          <t>« Boosters non pesés, non triés » dans l'annonce</t>
        </is>
      </c>
      <c r="H60" s="18" t="n"/>
    </row>
    <row r="61">
      <c r="A61" s="6" t="inlineStr">
        <is>
          <t>Boosters MEGA Storm Emeralda M6 — LOT de 2</t>
        </is>
      </c>
      <c r="B61" s="7" t="n">
        <v>19</v>
      </c>
      <c r="C61" s="8" t="n">
        <v>3.9</v>
      </c>
      <c r="D61" s="9">
        <f>B61*0.124</f>
        <v/>
      </c>
      <c r="E61" s="10">
        <f>B61-D61</f>
        <v/>
      </c>
      <c r="F61" s="6" t="inlineStr">
        <is>
          <t>Leboncoin, main propre</t>
        </is>
      </c>
      <c r="G61" s="11" t="inlineStr">
        <is>
          <t>Set sorti le 31/07/2026, forte demande</t>
        </is>
      </c>
      <c r="H61" s="12" t="n"/>
    </row>
    <row r="62" ht="22" customHeight="1">
      <c r="A62" s="30" t="inlineStr">
        <is>
          <t>4. PLUS TARD — ne pas publier maintenant</t>
        </is>
      </c>
      <c r="B62" s="31" t="n"/>
      <c r="C62" s="31" t="n"/>
      <c r="D62" s="31" t="n"/>
      <c r="E62" s="31" t="n"/>
      <c r="F62" s="31" t="n"/>
      <c r="G62" s="31" t="n"/>
      <c r="H62" s="31" t="n"/>
    </row>
    <row r="63">
      <c r="A63" s="6" t="inlineStr">
        <is>
          <t>Lot 20 sandales et tongs — EN LOT</t>
        </is>
      </c>
      <c r="B63" s="7" t="n">
        <v>199</v>
      </c>
      <c r="C63" s="27" t="n">
        <v>115.25</v>
      </c>
      <c r="D63" s="9">
        <f>B63*0.124</f>
        <v/>
      </c>
      <c r="E63" s="10">
        <f>B63-D63</f>
        <v/>
      </c>
      <c r="F63" s="6" t="inlineStr">
        <is>
          <t>Leboncoin B2B</t>
        </is>
      </c>
      <c r="G63" s="11" t="inlineStr">
        <is>
          <t>FÉVRIER-MARS, quand le revendeur prépare l'été</t>
        </is>
      </c>
      <c r="H63" s="12" t="n"/>
    </row>
    <row r="64">
      <c r="A64" s="13" t="inlineStr">
        <is>
          <t>Adidas Yeezy 700 V3 Mono Safflower — 38</t>
        </is>
      </c>
      <c r="B64" s="14" t="n">
        <v>105</v>
      </c>
      <c r="C64" s="27" t="n">
        <v>26.61</v>
      </c>
      <c r="D64" s="15">
        <f>B64*0.124</f>
        <v/>
      </c>
      <c r="E64" s="16">
        <f>B64-D64</f>
        <v/>
      </c>
      <c r="F64" s="13" t="inlineStr">
        <is>
          <t>Vinted</t>
        </is>
      </c>
      <c r="G64" s="17" t="inlineStr">
        <is>
          <t>Neuve 140 € wehaveit.fr · prix valable SI l'authentification passe</t>
        </is>
      </c>
      <c r="H64" s="18" t="n"/>
    </row>
    <row r="65">
      <c r="A65" s="32" t="inlineStr">
        <is>
          <t>TOTAL — 48 annonces chiffrées</t>
        </is>
      </c>
      <c r="B65" s="33">
        <f>B6+B7+B8+B9+B10+B11+B12+B20+B21+B22+B23+B24+B25+B27+B28+B29+B30+B31+B32+B33+B34+B35+B36+B37+B38+B39+B40+B41+B42+B43+B44+B45+B46+B47+B48+B49+B50+B51+B53+B54+B55+B56+B57+B59+B60+B61+B63+B64</f>
        <v/>
      </c>
      <c r="C65" s="33">
        <f>C6+C7+C8+C9+C10+C11+C12+C20+C21+C22+C23+C24+C25+C27+C28+C29+C30+C31+C32+C33+C34+C35+C36+C37+C38+C39+C40+C41+C42+C43+C44+C45+C46+C47+C48+C49+C50+C51+C53+C54+C55+C56+C57+C59+C60+C61+C63+C64</f>
        <v/>
      </c>
      <c r="D65" s="34">
        <f>B65*0.124</f>
        <v/>
      </c>
      <c r="E65" s="33">
        <f>B65-D65</f>
        <v/>
      </c>
      <c r="F65" s="35" t="n"/>
      <c r="G65" s="35" t="n"/>
      <c r="H65" s="35" t="n"/>
    </row>
    <row r="67">
      <c r="A67" s="2" t="inlineStr">
        <is>
          <t>MARGE / VENTE en vert : l'objectif de 25 € par vente est atteint. En rouge : le prix de rue plafonne, il ne peut pas l'être.</t>
        </is>
      </c>
    </row>
    <row r="68">
      <c r="A68" s="2" t="inlineStr">
        <is>
          <t>Règle : ces prix sont calés SOUS le moins cher trouvé sur Internet. Quatre lignes en « Liquider » sont au-dessus — décision à prendre.</t>
        </is>
      </c>
    </row>
    <row r="69">
      <c r="A69" s="2" t="inlineStr">
        <is>
          <t>URSSAF = 12,3 % de cotisations + 0,1 % de CFP, calculé sur le prix de vente encaissé. À mettre de côté à chaque vente, pas à la fin du trimestre.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2026-08-15T10:03:30Z</dcterms:created>
  <dcterms:modified xmlns:dcterms="http://purl.org/dc/terms/" xmlns:xsi="http://www.w3.org/2001/XMLSchema-instance" xsi:type="dcterms:W3CDTF">2026-10-23T06:44:24Z</dcterms:modified>
</cp:coreProperties>
</file>