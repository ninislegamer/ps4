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473 €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ENCAISSÉE le 23/08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16 €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16 €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Vidéoprojecteur PHILIPS NeoPix 110 — très bon état, testé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23/08</t>
        </is>
      </c>
      <c r="G17" s="17" t="inlineStr">
        <is>
          <t>Coût 50,40 € · facture FB2026-49549 · aucune recette, aucune URSSAF · sortie au registre des objets mobiliers</t>
        </is>
      </c>
      <c r="H17" s="18" t="n"/>
    </row>
    <row r="18">
      <c r="A18" s="6" t="inlineStr">
        <is>
          <t>— TOTAL PRÉLEVÉ : 187,95 €,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16</v>
      </c>
      <c r="C20" s="8" t="n">
        <v>3.25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PRIX REVU le 16/08 (18 → 16 €) · moins cher du net 15-16 €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Display Pokémon Nihil Zero M3 — box scellée entière, 30 boosters</t>
        </is>
      </c>
      <c r="B59" s="7" t="n">
        <v>89</v>
      </c>
      <c r="C59" s="8" t="n">
        <v>8.720000000000001</v>
      </c>
      <c r="D59" s="9">
        <f>B59*0.124</f>
        <v/>
      </c>
      <c r="E59" s="10">
        <f>B59-D59</f>
        <v/>
      </c>
      <c r="F59" s="6" t="inlineStr">
        <is>
          <t>Compte professionnel — Leboncoin</t>
        </is>
      </c>
      <c r="G59" s="11" t="inlineStr">
        <is>
          <t>Vendue scellée, pas en lots — SCELLÉ = preuve non pesé/trié, photo du blister avant envoi</t>
        </is>
      </c>
      <c r="H59" s="12" t="n"/>
    </row>
    <row r="60">
      <c r="A60" s="13" t="n"/>
      <c r="B60" s="14" t="n"/>
      <c r="C60" s="8" t="n"/>
      <c r="D60" s="15" t="n"/>
      <c r="E60" s="16" t="n"/>
      <c r="F60" s="13" t="n"/>
      <c r="G60" s="17" t="n"/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Compte professionnel — Leboncoin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0" t="inlineStr">
        <is>
          <t>6. INFORMATIQUE — hors périmètre mode, pas encore tarifé</t>
        </is>
      </c>
      <c r="B65" s="31" t="n"/>
      <c r="C65" s="31" t="n"/>
      <c r="D65" s="31" t="n"/>
      <c r="E65" s="31" t="n"/>
      <c r="F65" s="31" t="n"/>
      <c r="G65" s="31" t="n"/>
      <c r="H65" s="31" t="n"/>
    </row>
    <row r="66">
      <c r="A66" s="6" t="inlineStr">
        <is>
          <t>Unité centrale gaming Acer Predator G3-605 — i7-4790, GTX 980, 16 Go RAM</t>
        </is>
      </c>
      <c r="B66" s="21" t="inlineStr">
        <is>
          <t>à tarifer</t>
        </is>
      </c>
      <c r="C66" s="21" t="inlineStr">
        <is>
          <t>—</t>
        </is>
      </c>
      <c r="D66" s="21" t="inlineStr">
        <is>
          <t>—</t>
        </is>
      </c>
      <c r="E66" s="21" t="inlineStr">
        <is>
          <t>—</t>
        </is>
      </c>
      <c r="F66" s="6" t="inlineStr">
        <is>
          <t>Leboncoin informatique / eBay — pas la boutique</t>
        </is>
      </c>
      <c r="G66" s="11" t="inlineStr">
        <is>
          <t>Coût 88,20 € · facture FB2026-49549 · relever le marché avant de fixer un prix</t>
        </is>
      </c>
      <c r="H66" s="12" t="n"/>
    </row>
    <row r="67">
      <c r="A67" s="32" t="inlineStr">
        <is>
          <t>TOTAL — 47 annonces chiffrées</t>
        </is>
      </c>
      <c r="B67" s="33">
        <f>B6+B7+B8+B9+B10+B11+B12+B20+B21+B22+B23+B24+B25+B27+B28+B29+B30+B31+B32+B33+B34+B35+B36+B37+B38+B39+B40+B41+B42+B43+B44+B45+B46+B47+B48+B49+B50+B51+B53+B54+B55+B56+B57+B59+B61+B63+B64</f>
        <v/>
      </c>
      <c r="C67" s="33">
        <f>C6+C7+C8+C9+C10+C11+C12+C20+C21+C22+C23+C24+C25+C27+C28+C29+C30+C31+C32+C33+C34+C35+C36+C37+C38+C39+C40+C41+C42+C43+C44+C45+C46+C47+C48+C49+C50+C51+C53+C54+C55+C56+C57+C59+C61+C63+C64</f>
        <v/>
      </c>
      <c r="D67" s="34">
        <f>B67*0.124</f>
        <v/>
      </c>
      <c r="E67" s="33">
        <f>B67-D67</f>
        <v/>
      </c>
      <c r="F67" s="35" t="n"/>
      <c r="G67" s="35" t="n"/>
      <c r="H67" s="35" t="n"/>
    </row>
    <row r="69">
      <c r="A69" s="2" t="inlineStr">
        <is>
          <t>MARGE / VENTE en vert : l'objectif de 25 € par vente est atteint. En rouge : le prix de rue plafonne, il ne peut pas l'être.</t>
        </is>
      </c>
    </row>
    <row r="70">
      <c r="A70" s="2" t="inlineStr">
        <is>
          <t>Règle : ces prix sont calés SOUS le moins cher trouvé sur Internet. Quatre lignes en « Liquider » sont au-dessus — décision à prendre.</t>
        </is>
      </c>
    </row>
    <row r="71">
      <c r="A7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2026-08-24T03:06:15Z</dcterms:modified>
</cp:coreProperties>
</file>