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4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593 €, dont 493 € encaissés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Main propre,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Baskets Hoka — 37⅓</t>
        </is>
      </c>
      <c r="B8" s="7" t="n">
        <v>80</v>
      </c>
      <c r="C8" s="8">
        <f>B8*0.124</f>
        <v/>
      </c>
      <c r="D8" s="9">
        <f>B8-C8</f>
        <v/>
      </c>
      <c r="E8" s="6" t="inlineStr">
        <is>
          <t>Main propre, espèces</t>
        </is>
      </c>
      <c r="F8" s="10" t="inlineStr">
        <is>
          <t>Encaissé le 09/08</t>
        </is>
      </c>
      <c r="G8" s="11" t="n"/>
    </row>
    <row r="9">
      <c r="A9" s="12" t="inlineStr">
        <is>
          <t>Sac demi-lune Karl Lagerfeld Jeans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Main propre, espèces</t>
        </is>
      </c>
      <c r="F9" s="16" t="inlineStr">
        <is>
          <t>Encaissé le 09/08</t>
        </is>
      </c>
      <c r="G9" s="17" t="n"/>
    </row>
    <row r="10">
      <c r="A10" s="6" t="inlineStr">
        <is>
          <t>Nike Air Max Moto 2K — 44,5</t>
        </is>
      </c>
      <c r="B10" s="7" t="n">
        <v>70</v>
      </c>
      <c r="C10" s="8">
        <f>B10*0.124</f>
        <v/>
      </c>
      <c r="D10" s="9">
        <f>B10-C10</f>
        <v/>
      </c>
      <c r="E10" s="6" t="inlineStr">
        <is>
          <t>Main propre, espèces</t>
        </is>
      </c>
      <c r="F10" s="10" t="inlineStr">
        <is>
          <t>Encaissé le 09/08</t>
        </is>
      </c>
      <c r="G10" s="11" t="n"/>
    </row>
    <row r="11">
      <c r="A11" s="12" t="inlineStr">
        <is>
          <t>Lacoste sneakers — 42</t>
        </is>
      </c>
      <c r="B11" s="13" t="n">
        <v>70</v>
      </c>
      <c r="C11" s="14">
        <f>B11*0.124</f>
        <v/>
      </c>
      <c r="D11" s="15">
        <f>B11-C11</f>
        <v/>
      </c>
      <c r="E11" s="12" t="inlineStr">
        <is>
          <t>Main propre, espèces</t>
        </is>
      </c>
      <c r="F11" s="16" t="inlineStr">
        <is>
          <t>Encaissé le 09/08 · marge +1,44 € seulement</t>
        </is>
      </c>
      <c r="G11" s="17" t="n"/>
    </row>
    <row r="12">
      <c r="A12" s="6" t="inlineStr">
        <is>
          <t>Veste en jean Armani Exchange — T.S</t>
        </is>
      </c>
      <c r="B12" s="7" t="n">
        <v>40</v>
      </c>
      <c r="C12" s="8">
        <f>B12*0.124</f>
        <v/>
      </c>
      <c r="D12" s="9">
        <f>B12-C12</f>
        <v/>
      </c>
      <c r="E12" s="6" t="inlineStr">
        <is>
          <t>Main propre, espèces</t>
        </is>
      </c>
      <c r="F12" s="10" t="inlineStr">
        <is>
          <t>Encaissé le 09/08</t>
        </is>
      </c>
      <c r="G12" s="11" t="n"/>
    </row>
    <row r="13">
      <c r="A13" s="12" t="inlineStr">
        <is>
          <t>Havaianas Slim — 2 paires à 14 €</t>
        </is>
      </c>
      <c r="B13" s="13" t="n">
        <v>28</v>
      </c>
      <c r="C13" s="14">
        <f>B13*0.124</f>
        <v/>
      </c>
      <c r="D13" s="15">
        <f>B13-C13</f>
        <v/>
      </c>
      <c r="E13" s="12" t="inlineStr">
        <is>
          <t>Main propre, espèces</t>
        </is>
      </c>
      <c r="F13" s="16" t="inlineStr">
        <is>
          <t>Encaissé le 10/08</t>
        </is>
      </c>
      <c r="G13" s="17" t="n"/>
    </row>
    <row r="14" ht="22" customHeight="1">
      <c r="A14" s="18" t="inlineStr">
        <is>
          <t>1. URGENT — à publier cette semaine, la saison finit fin septembre</t>
        </is>
      </c>
      <c r="B14" s="19" t="n"/>
      <c r="C14" s="19" t="n"/>
      <c r="D14" s="19" t="n"/>
      <c r="E14" s="19" t="n"/>
      <c r="F14" s="19" t="n"/>
      <c r="G14" s="19" t="n"/>
    </row>
    <row r="15">
      <c r="A15" s="6" t="inlineStr">
        <is>
          <t>Havaianas Slim fuchsia 35/36 — LOT de 10 paires</t>
        </is>
      </c>
      <c r="B15" s="7" t="n">
        <v>139</v>
      </c>
      <c r="C15" s="8">
        <f>B15*0.124</f>
        <v/>
      </c>
      <c r="D15" s="9">
        <f>B15-C15</f>
        <v/>
      </c>
      <c r="E15" s="6" t="inlineStr">
        <is>
          <t>Leboncoin</t>
        </is>
      </c>
      <c r="F15" s="10" t="inlineStr">
        <is>
          <t>Texte d'annonce prêt · plancher 129 €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0" t="inlineStr">
        <is>
          <t>2. À PUBLIER MAINTENANT — les pièces qui rapportent</t>
        </is>
      </c>
      <c r="B21" s="21" t="n"/>
      <c r="C21" s="21" t="n"/>
      <c r="D21" s="21" t="n"/>
      <c r="E21" s="21" t="n"/>
      <c r="F21" s="21" t="n"/>
      <c r="G21" s="21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550 W — 1ʳᵉ</t>
        </is>
      </c>
      <c r="B39" s="13" t="n">
        <v>42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« Très bon état, jamais utilisée » · JAMAIS d'expédition</t>
        </is>
      </c>
      <c r="G39" s="17" t="n"/>
    </row>
    <row r="40">
      <c r="A40" s="6" t="inlineStr">
        <is>
          <t>Robby VP550W pompe immergée 550 W — 2ᵉ</t>
        </is>
      </c>
      <c r="B40" s="7" t="n">
        <v>42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À publier quand la 1ʳᵉ est vendue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2" t="inlineStr">
        <is>
          <t>3. LIQUIDER — vendre pour récupérer la trésorerie, pas pour la marge</t>
        </is>
      </c>
      <c r="B47" s="23" t="n"/>
      <c r="C47" s="23" t="n"/>
      <c r="D47" s="23" t="n"/>
      <c r="E47" s="23" t="n"/>
      <c r="F47" s="23" t="n"/>
      <c r="G47" s="23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2" t="inlineStr">
        <is>
          <t>5. POKÉMON — import du Japon, marges minces, vérifier le marché avant de publier</t>
        </is>
      </c>
      <c r="B53" s="23" t="n"/>
      <c r="C53" s="23" t="n"/>
      <c r="D53" s="23" t="n"/>
      <c r="E53" s="23" t="n"/>
      <c r="F53" s="23" t="n"/>
      <c r="G53" s="23" t="n"/>
    </row>
    <row r="54">
      <c r="A54" s="6" t="inlineStr">
        <is>
          <t>Boosters Nihil Zero M3 — LOT de 5, n°1</t>
        </is>
      </c>
      <c r="B54" s="7" t="n">
        <v>17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3,40 €/booster · le moins cher du net est à 3,50 € (Pikastore)</t>
        </is>
      </c>
      <c r="G54" s="11" t="n"/>
    </row>
    <row r="55">
      <c r="A55" s="12" t="inlineStr">
        <is>
          <t>Boosters Nihil Zero M3 — LOT de 5, n°2</t>
        </is>
      </c>
      <c r="B55" s="13" t="n">
        <v>17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À publier quand le n°1 est vendu</t>
        </is>
      </c>
      <c r="G55" s="17" t="n"/>
    </row>
    <row r="56">
      <c r="A56" s="6" t="inlineStr">
        <is>
          <t>Boosters Nihil Zero M3 — LOT de 5, n°3</t>
        </is>
      </c>
      <c r="B56" s="7" t="n">
        <v>17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À publier quand le n°2 est vendu</t>
        </is>
      </c>
      <c r="G56" s="11" t="n"/>
    </row>
    <row r="57">
      <c r="A57" s="12" t="inlineStr">
        <is>
          <t>Boosters Nihil Zero M3 — LOT de 5, n°4</t>
        </is>
      </c>
      <c r="B57" s="13" t="n">
        <v>17</v>
      </c>
      <c r="C57" s="14">
        <f>B57*0.124</f>
        <v/>
      </c>
      <c r="D57" s="15">
        <f>B57-C57</f>
        <v/>
      </c>
      <c r="E57" s="12" t="inlineStr">
        <is>
          <t>Leboncoin, main propre</t>
        </is>
      </c>
      <c r="F57" s="16" t="inlineStr">
        <is>
          <t>À publier quand le n°3 est vendu</t>
        </is>
      </c>
      <c r="G57" s="17" t="n"/>
    </row>
    <row r="58">
      <c r="A58" s="6" t="inlineStr">
        <is>
          <t>Boosters Nihil Zero M3 — LOT de 5, n°5</t>
        </is>
      </c>
      <c r="B58" s="7" t="n">
        <v>17</v>
      </c>
      <c r="C58" s="8">
        <f>B58*0.124</f>
        <v/>
      </c>
      <c r="D58" s="9">
        <f>B58-C58</f>
        <v/>
      </c>
      <c r="E58" s="6" t="inlineStr">
        <is>
          <t>Leboncoin, main propre</t>
        </is>
      </c>
      <c r="F58" s="10" t="inlineStr">
        <is>
          <t>À publier quand le n°4 est vendu</t>
        </is>
      </c>
      <c r="G58" s="11" t="n"/>
    </row>
    <row r="59">
      <c r="A59" s="12" t="inlineStr">
        <is>
          <t>BUNDLE : High Class MEGA Dream ex + 5 Nihil Zero</t>
        </is>
      </c>
      <c r="B59" s="13" t="n">
        <v>30</v>
      </c>
      <c r="C59" s="14">
        <f>B59*0.124</f>
        <v/>
      </c>
      <c r="D59" s="15">
        <f>B59-C59</f>
        <v/>
      </c>
      <c r="E59" s="12" t="inlineStr">
        <is>
          <t>Leboncoin, main propre</t>
        </is>
      </c>
      <c r="F59" s="16" t="inlineStr">
        <is>
          <t>Le High Class est INVENDABLE SEUL : marché 12,99 €, coût 12,95 €</t>
        </is>
      </c>
      <c r="G59" s="17" t="n"/>
    </row>
    <row r="60">
      <c r="A60" s="6" t="inlineStr">
        <is>
          <t>Boosters MEGA Storm Emeralda M6 — LOT de 2</t>
        </is>
      </c>
      <c r="B60" s="7" t="n">
        <v>19</v>
      </c>
      <c r="C60" s="8">
        <f>B60*0.124</f>
        <v/>
      </c>
      <c r="D60" s="9">
        <f>B60-C60</f>
        <v/>
      </c>
      <c r="E60" s="6" t="inlineStr">
        <is>
          <t>Leboncoin, main propre</t>
        </is>
      </c>
      <c r="F60" s="10" t="inlineStr">
        <is>
          <t>SEUIL 14,54 € · set sorti le 31/07/2026, forte demande</t>
        </is>
      </c>
      <c r="G60" s="11" t="n"/>
    </row>
    <row r="61" ht="22" customHeight="1">
      <c r="A61" s="24" t="inlineStr">
        <is>
          <t>4. PLUS TARD — ne pas publier maintenant</t>
        </is>
      </c>
      <c r="B61" s="25" t="n"/>
      <c r="C61" s="25" t="n"/>
      <c r="D61" s="25" t="n"/>
      <c r="E61" s="25" t="n"/>
      <c r="F61" s="25" t="n"/>
      <c r="G61" s="25" t="n"/>
    </row>
    <row r="62">
      <c r="A62" s="6" t="inlineStr">
        <is>
          <t>Lot 20 sandales et tongs — EN LOT</t>
        </is>
      </c>
      <c r="B62" s="7" t="n">
        <v>199</v>
      </c>
      <c r="C62" s="8">
        <f>B62*0.124</f>
        <v/>
      </c>
      <c r="D62" s="9">
        <f>B62-C62</f>
        <v/>
      </c>
      <c r="E62" s="6" t="inlineStr">
        <is>
          <t>Leboncoin B2B</t>
        </is>
      </c>
      <c r="F62" s="10" t="inlineStr">
        <is>
          <t>FÉVRIER-MARS, quand le revendeur prépare l'été</t>
        </is>
      </c>
      <c r="G62" s="11" t="n"/>
    </row>
    <row r="63">
      <c r="A63" s="12" t="inlineStr">
        <is>
          <t>Adidas Yeezy 700 V3 Mono Safflower — 38</t>
        </is>
      </c>
      <c r="B63" s="26" t="inlineStr">
        <is>
          <t>—</t>
        </is>
      </c>
      <c r="C63" s="26" t="inlineStr">
        <is>
          <t>—</t>
        </is>
      </c>
      <c r="D63" s="26" t="inlineStr">
        <is>
          <t>—</t>
        </is>
      </c>
      <c r="E63" s="12" t="inlineStr">
        <is>
          <t>Vinted</t>
        </is>
      </c>
      <c r="F63" s="16" t="inlineStr">
        <is>
          <t>BLOQUÉ : authentification requise avant de fixer le prix</t>
        </is>
      </c>
      <c r="G63" s="17" t="n"/>
    </row>
    <row r="64">
      <c r="A64" s="27" t="inlineStr">
        <is>
          <t>TOTAL — 36 annonces chiffrées</t>
        </is>
      </c>
      <c r="B64" s="28">
        <f>B6+B7+B8+B9+B10+B11+B12+B13+B15+B16+B17+B18+B19+B20+B22+B23+B24+B25+B26+B27+B28+B29+B30+B31+B32+B33+B34+B35+B36+B37+B38+B39+B40+B41+B42+B43+B44+B45+B46+B48+B49+B50+B51+B52+B54+B55+B56+B57+B58+B59+B60+B62</f>
        <v/>
      </c>
      <c r="C64" s="29">
        <f>B64*0.124</f>
        <v/>
      </c>
      <c r="D64" s="28">
        <f>B64-C64</f>
        <v/>
      </c>
      <c r="E64" s="30" t="n"/>
      <c r="F64" s="30" t="n"/>
      <c r="G64" s="30" t="n"/>
    </row>
    <row r="66">
      <c r="A66" s="2" t="inlineStr">
        <is>
          <t>Le prix de la Yeezy sera fixé après authentification (10-20 €).</t>
        </is>
      </c>
    </row>
    <row r="67">
      <c r="A67" s="2" t="inlineStr">
        <is>
          <t>Règle : ces prix sont déjà calés sous le moins cher trouvé sur Internet. Ne pas les remonter.</t>
        </is>
      </c>
    </row>
    <row r="68">
      <c r="A68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2026-08-14T00:49:35Z</dcterms:created>
  <dcterms:modified xsi:type="dcterms:W3CDTF">2026-08-14T00:49:35Z</dcterms:modified>
</cp:coreProperties>
</file>