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Livre des recettes" sheetId="2" state="visible" r:id="rId2"/>
    <sheet xmlns:r="http://schemas.openxmlformats.org/officeDocument/2006/relationships" name="Par trimestre" sheetId="3" state="visible" r:id="rId3"/>
    <sheet xmlns:r="http://schemas.openxmlformats.org/officeDocument/2006/relationships" name="Registre des achats" sheetId="4" state="visible" r:id="rId4"/>
    <sheet xmlns:r="http://schemas.openxmlformats.org/officeDocument/2006/relationships" name="Objets mobiliers" sheetId="5" state="visible" r:id="rId5"/>
  </sheets>
  <definedNames>
    <definedName name="_xlnm._FilterDatabase" localSheetId="1" hidden="1">'Livre des recettes'!$A$5:$J$311</definedName>
    <definedName name="_xlnm._FilterDatabase" localSheetId="3" hidden="1">'Registre des achats'!$A$5:$G$350</definedName>
    <definedName name="_xlnm._FilterDatabase" localSheetId="4" hidden="1">'Objets mobiliers'!$A$5:$K$345</definedName>
  </definedNames>
  <calcPr calcId="124519" fullCalcOnLoad="1"/>
</workbook>
</file>

<file path=xl/styles.xml><?xml version="1.0" encoding="utf-8"?>
<styleSheet xmlns="http://schemas.openxmlformats.org/spreadsheetml/2006/main">
  <numFmts count="1">
    <numFmt numFmtId="164" formatCode="#,##0.00 &quot;€&quot;"/>
  </numFmts>
  <fonts count="10">
    <font>
      <name val="Calibri"/>
      <family val="2"/>
      <color theme="1"/>
      <sz val="11"/>
      <scheme val="minor"/>
    </font>
    <font>
      <name val="Arial"/>
      <b val="1"/>
      <sz val="14"/>
    </font>
    <font>
      <name val="Arial"/>
      <i val="1"/>
      <color rgb="00595959"/>
      <sz val="9"/>
    </font>
    <font>
      <name val="Arial"/>
      <b val="1"/>
      <color rgb="00FFFFFF"/>
      <sz val="9"/>
    </font>
    <font>
      <name val="Arial"/>
      <sz val="10"/>
    </font>
    <font>
      <name val="Arial"/>
      <color rgb="000000FF"/>
      <sz val="10"/>
    </font>
    <font>
      <name val="Arial"/>
      <b val="1"/>
      <sz val="11"/>
    </font>
    <font>
      <name val="Arial"/>
      <b val="1"/>
      <sz val="10"/>
    </font>
    <font>
      <name val="Arial"/>
      <b val="1"/>
      <color rgb="00C0392B"/>
      <sz val="10"/>
    </font>
    <font>
      <b val="1"/>
    </font>
  </fonts>
  <fills count="5">
    <fill>
      <patternFill/>
    </fill>
    <fill>
      <patternFill patternType="gray125"/>
    </fill>
    <fill>
      <patternFill patternType="solid">
        <fgColor rgb="001A1A1A"/>
      </patternFill>
    </fill>
    <fill>
      <patternFill patternType="solid">
        <fgColor rgb="00EAF3EA"/>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4" fillId="0" borderId="0" applyAlignment="1" pivotButton="0" quotePrefix="0" xfId="0">
      <alignment vertical="top" wrapText="1"/>
    </xf>
    <xf numFmtId="0" fontId="2" fillId="0" borderId="0" pivotButton="0" quotePrefix="0" xfId="0"/>
    <xf numFmtId="164" fontId="7" fillId="0" borderId="1" pivotButton="0" quotePrefix="0" xfId="0"/>
    <xf numFmtId="0" fontId="3" fillId="2" borderId="1" applyAlignment="1" pivotButton="0" quotePrefix="0" xfId="0">
      <alignment horizontal="center" vertical="center" wrapText="1"/>
    </xf>
    <xf numFmtId="0" fontId="4" fillId="0" borderId="0" pivotButton="0" quotePrefix="0" xfId="0"/>
    <xf numFmtId="164" fontId="8" fillId="0" borderId="1" pivotButton="0" quotePrefix="0" xfId="0"/>
    <xf numFmtId="0" fontId="4" fillId="0" borderId="1" pivotButton="0" quotePrefix="0" xfId="0"/>
    <xf numFmtId="0" fontId="5" fillId="0" borderId="1" pivotButton="0" quotePrefix="0" xfId="0"/>
    <xf numFmtId="164" fontId="5" fillId="0" borderId="1" pivotButton="0" quotePrefix="0" xfId="0"/>
    <xf numFmtId="164" fontId="4" fillId="0" borderId="1" pivotButton="0" quotePrefix="0" xfId="0"/>
    <xf numFmtId="0" fontId="8" fillId="0" borderId="0" pivotButton="0" quotePrefix="0" xfId="0"/>
    <xf numFmtId="0" fontId="7" fillId="0" borderId="1" pivotButton="0" quotePrefix="0" xfId="0"/>
    <xf numFmtId="0" fontId="4" fillId="3" borderId="1" pivotButton="0" quotePrefix="0" xfId="0"/>
    <xf numFmtId="0" fontId="5" fillId="3" borderId="1" pivotButton="0" quotePrefix="0" xfId="0"/>
    <xf numFmtId="164" fontId="5" fillId="3" borderId="1" pivotButton="0" quotePrefix="0" xfId="0"/>
    <xf numFmtId="164" fontId="0" fillId="0" borderId="0" pivotButton="0" quotePrefix="0" xfId="0"/>
    <xf numFmtId="0" fontId="9" fillId="4" borderId="0" pivotButton="0" quotePrefix="0" xfId="0"/>
    <xf numFmtId="164"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0" customWidth="1" min="1" max="1"/>
    <col width="100" customWidth="1" min="2" max="2"/>
  </cols>
  <sheetData>
    <row r="1">
      <c r="A1" s="1" t="inlineStr">
        <is>
          <t>Mode d'emploi</t>
        </is>
      </c>
    </row>
    <row r="2">
      <c r="A2" s="2" t="inlineStr">
        <is>
          <t>LES TROIS REGISTRES</t>
        </is>
      </c>
    </row>
    <row r="3">
      <c r="A3" s="3" t="inlineStr">
        <is>
          <t>Livre des recettes</t>
        </is>
      </c>
      <c r="B3" s="4" t="inlineStr">
        <is>
          <t>Obligatoire pour toute micro-entreprise. Une ligne par encaissement. C'est lui qui sert à la déclaration URSSAF.</t>
        </is>
      </c>
    </row>
    <row r="4">
      <c r="A4" s="3" t="inlineStr">
        <is>
          <t>Registre des achats</t>
        </is>
      </c>
      <c r="B4" s="4" t="inlineStr">
        <is>
          <t>Obligatoire dès qu'il y a achat-revente. Une ligne par lot facturé, frais d'expédition compris.</t>
        </is>
      </c>
    </row>
    <row r="5">
      <c r="A5" s="3" t="inlineStr">
        <is>
          <t>Objets mobiliers</t>
        </is>
      </c>
      <c r="B5" s="4" t="inlineStr">
        <is>
          <t>Obligatoire pour l'achat-revente de biens d'occasion — article 321-7 du code pénal. Tenue numérique admise depuis 2020.</t>
        </is>
      </c>
    </row>
    <row r="7">
      <c r="A7" s="2" t="inlineStr">
        <is>
          <t>LA RÈGLE QUI PIÈGE LE PLUS</t>
        </is>
      </c>
    </row>
    <row r="8">
      <c r="A8" s="3" t="inlineStr">
        <is>
          <t>Encaissé, pas vendu</t>
        </is>
      </c>
      <c r="B8" s="4" t="inlineStr">
        <is>
          <t>Le livre des recettes enregistre la date où l'argent arrive. Une vente conclue le 12 août et virée le 20 se déclare au 20 août. C'est le cas de la paire Salomon : vendue le 12/08, inscrite au 21/08, jour du virement Vinted.</t>
        </is>
      </c>
    </row>
    <row r="10">
      <c r="A10" s="2" t="inlineStr">
        <is>
          <t>RÈGLES DE TENUE</t>
        </is>
      </c>
    </row>
    <row r="11">
      <c r="A11" s="3" t="inlineStr">
        <is>
          <t>Ordre chronologique</t>
        </is>
      </c>
      <c r="B11" s="4" t="inlineStr">
        <is>
          <t>Les lignes se saisissent au fil de l'eau, dans l'ordre des dates.</t>
        </is>
      </c>
    </row>
    <row r="12">
      <c r="A12" s="3" t="inlineStr">
        <is>
          <t>Jamais de suppression</t>
        </is>
      </c>
      <c r="B12" s="4" t="inlineStr">
        <is>
          <t>On ne supprime pas, on ne réordonne pas. Une erreur se corrige par une ligne rectificative.</t>
        </is>
      </c>
    </row>
    <row r="13">
      <c r="A13" s="3" t="inlineStr">
        <is>
          <t>Numérotation continue</t>
        </is>
      </c>
      <c r="B13" s="4" t="inlineStr">
        <is>
          <t>Sans rupture. Le numéro se calcule tout seul dès qu'une date est saisie.</t>
        </is>
      </c>
    </row>
    <row r="14">
      <c r="A14" s="3" t="inlineStr">
        <is>
          <t>Numérotation des factures</t>
        </is>
      </c>
      <c r="B14" s="4" t="inlineStr">
        <is>
          <t>Une seule série, continue, sans trou : 2026-001, 2026-002, 2026-003. Un numéro sauté ou réutilisé fait présumer une facture dissimulée. La première facture émise porte le n° 2026-001, vente à Mme Aouimeur Siham du 09/08/2026.</t>
        </is>
      </c>
    </row>
    <row r="15">
      <c r="A15" s="3" t="inlineStr">
        <is>
          <t>Conservation</t>
        </is>
      </c>
      <c r="B15" s="4" t="inlineStr">
        <is>
          <t>5 ans minimum. Garder les factures des maisons de vente, elles justifient chaque ligne.</t>
        </is>
      </c>
    </row>
    <row r="16">
      <c r="A16" s="3" t="inlineStr">
        <is>
          <t>Sortie partielle</t>
        </is>
      </c>
      <c r="B16" s="4" t="inlineStr">
        <is>
          <t>Un lot vendu à l'unité se solde en plusieurs fois : le noter en observations jusqu'à épuisement.</t>
        </is>
      </c>
    </row>
    <row r="17">
      <c r="A17" s="3" t="inlineStr">
        <is>
          <t>Prélèvement personnel</t>
        </is>
      </c>
      <c r="B17" s="4" t="inlineStr">
        <is>
          <t>Un article gardé pour soi sort du stock sans recette. Il ne s'inscrit pas au livre des recettes — il n'y a pas d'encaissement — mais il se note en sortie sur le registre des objets mobiliers, avec la mention « usage personnel ». Sans cette ligne, le stock ne tombe jamais juste.</t>
        </is>
      </c>
    </row>
    <row r="18">
      <c r="A18" s="3" t="inlineStr">
        <is>
          <t>Le remboursement du prélèvement</t>
        </is>
      </c>
      <c r="B18" s="4" t="inlineStr">
        <is>
          <t>Remettre l'argent sur le compte pro n'est pas obligatoire — il n'y a qu'une personne juridique. Mais c'est une bonne pratique : sans ça, le stock fond et la caisse ne suit pas. Verser le COÛT D'ACHAT, pas le prix de vente : l'entreprise récupère ce qu'elle a payé, ni plus ni moins.</t>
        </is>
      </c>
    </row>
    <row r="19">
      <c r="A19" s="3" t="inlineStr">
        <is>
          <t>Apport, pas recette</t>
        </is>
      </c>
      <c r="B19" s="4" t="inlineStr">
        <is>
          <t>Le virement du compte personnel vers le compte professionnel est un APPORT. Aucun chiffre d'affaires, aucune URSSAF, rien à déclarer. Le libeller « apport personnel » : sur un relevé pro, une somme qui arrive sans libellé ressemble à un encaissement client introuvable au livre des recettes.</t>
        </is>
      </c>
    </row>
    <row r="20">
      <c r="A20" s="3" t="inlineStr">
        <is>
          <t>Apport enregistré</t>
        </is>
      </c>
      <c r="B20" s="4" t="inlineStr">
        <is>
          <t>150,50 € versés en apport personnel, couvrant au coût les quatre prélèvements : Hoka 65,37 € + Nike 52,77 € + pompe Robby ligne 131 19,41 € + booster High Class 12,95 €.</t>
        </is>
      </c>
    </row>
    <row r="22">
      <c r="A22" s="2" t="inlineStr">
        <is>
          <t>ENCAISSEMENT PAR PAYPAL</t>
        </is>
      </c>
    </row>
    <row r="23">
      <c r="A23" s="3" t="inlineStr">
        <is>
          <t>Le montant à inscrire</t>
        </is>
      </c>
      <c r="B23" s="4" t="inlineStr">
        <is>
          <t>Le montant PAYÉ PAR LE CLIENT, jamais le montant versé par PayPal. Un client paie 89 €, PayPal en crédite ~86 € : la recette est de 89 € et les cotisations se calculent sur 89 €.</t>
        </is>
      </c>
    </row>
    <row r="24">
      <c r="A24" s="3" t="inlineStr">
        <is>
          <t>La commission</t>
        </is>
      </c>
      <c r="B24" s="4" t="inlineStr">
        <is>
          <t>Elle ne se déduit nulle part. En micro-entreprise aucune charge n'est déductible : la commission PayPal sort de la marge, pas du chiffre d'affaires. Elle n'est pas une ligne du registre.</t>
        </is>
      </c>
    </row>
    <row r="25">
      <c r="A25" s="3" t="inlineStr">
        <is>
          <t>Ce qu'on note</t>
        </is>
      </c>
      <c r="B25" s="4" t="inlineStr">
        <is>
          <t>Mode de règlement « PayPal », et en référence l'identifiant de transaction. C'est lui qui relie la ligne au relevé PayPal en cas de contrôle.</t>
        </is>
      </c>
    </row>
    <row r="26">
      <c r="A26" s="3" t="inlineStr">
        <is>
          <t>Le solde PayPal</t>
        </is>
      </c>
      <c r="B26" s="4" t="inlineStr">
        <is>
          <t>PayPal est un compte de paiement, pas un compte bancaire. Virer le solde sur le compte professionnel au moins une fois par mois : tant qu'il y dort, ce n'est pas de la trésorerie disponible.</t>
        </is>
      </c>
    </row>
    <row r="27">
      <c r="A27" s="3" t="inlineStr">
        <is>
          <t>Jamais « entre proches »</t>
        </is>
      </c>
      <c r="B27" s="4" t="inlineStr">
        <is>
          <t>Un acheteur qui propose de payer en friends and family fait disparaître la protection vendeur et déguise une vente commerciale. Refuser sans exception.</t>
        </is>
      </c>
    </row>
    <row r="29">
      <c r="A29" s="2" t="inlineStr">
        <is>
          <t>VENTES EN ESPÈCES</t>
        </is>
      </c>
    </row>
    <row r="30">
      <c r="A30" s="3" t="inlineStr">
        <is>
          <t>Plafond</t>
        </is>
      </c>
      <c r="B30" s="4" t="inlineStr">
        <is>
          <t>1 000 € par transaction entre un professionnel et un particulier résidant en France — art. L112-6 du code monétaire et financier. Aucune vente n'en approche.</t>
        </is>
      </c>
    </row>
    <row r="31">
      <c r="A31" s="3" t="inlineStr">
        <is>
          <t>La preuve</t>
        </is>
      </c>
      <c r="B31" s="4" t="inlineStr">
        <is>
          <t>Une note de vente par transaction : date, article, prix, nom de l'acheteur. Un carnet à souches suffit. C'est elle qui adosse la ligne du registre.</t>
        </is>
      </c>
    </row>
    <row r="32">
      <c r="A32" s="3" t="inlineStr">
        <is>
          <t>Le dépôt</t>
        </is>
      </c>
      <c r="B32" s="4" t="inlineStr">
        <is>
          <t>Déposer directement sur le compte professionnel. Passer par le compte personnel puis virer casse le lien entre la vente et le relevé.</t>
        </is>
      </c>
    </row>
    <row r="34">
      <c r="A34" s="2" t="inlineStr">
        <is>
          <t>DÉCLARATION URSSAF</t>
        </is>
      </c>
    </row>
    <row r="35">
      <c r="A35" s="3" t="inlineStr">
        <is>
          <t>Ce qu'on déclare</t>
        </is>
      </c>
      <c r="B35" s="4" t="inlineStr">
        <is>
          <t>Le chiffre d'affaires encaissé sur la période. Total en haut à droite du livre des recettes.</t>
        </is>
      </c>
    </row>
    <row r="36">
      <c r="A36" s="3" t="inlineStr">
        <is>
          <t>Taux</t>
        </is>
      </c>
      <c r="B36" s="4" t="inlineStr">
        <is>
          <t>12,3 % de cotisations + 0,1 % de CFP = 12,4 %. À vérifier sur autoentrepreneur.urssaf.fr.</t>
        </is>
      </c>
    </row>
    <row r="37">
      <c r="A37" s="3" t="inlineStr">
        <is>
          <t>Provision</t>
        </is>
      </c>
      <c r="B37" s="4" t="inlineStr">
        <is>
          <t>À virer sur un compte séparé à chaque encaissement, pas au trimestre.</t>
        </is>
      </c>
    </row>
    <row r="38">
      <c r="A38" s="3" t="inlineStr">
        <is>
          <t>Pas de versement libératoire</t>
        </is>
      </c>
      <c r="B38" s="4" t="inlineStr">
        <is>
          <t>L'impôt suit le barème après abattement de 71 %. Il tombe l'année suivante — à provisionner aussi.</t>
        </is>
      </c>
    </row>
    <row r="40">
      <c r="A40" s="2" t="inlineStr">
        <is>
          <t>CE QUI RESTE À COMPLÉTER</t>
        </is>
      </c>
    </row>
    <row r="41">
      <c r="A41" s="3" t="inlineStr">
        <is>
          <t>Livre des recettes</t>
        </is>
      </c>
      <c r="B41" s="4" t="inlineStr">
        <is>
          <t>Complet. Quatre ventes à Mme Aouimeur Siham le 09/08 en espèces et main propre, deux paires de Havaianas sur Vinted encaissées le 10/08, la Salomon encaissée le 21/08, la New Balance Alkaline Green et une paire de Havaianas encaissées le 10/09.</t>
        </is>
      </c>
    </row>
    <row r="42">
      <c r="A42" s="3" t="inlineStr">
        <is>
          <t>Ventes Vinted</t>
        </is>
      </c>
      <c r="B42" s="4" t="inlineStr">
        <is>
          <t>Sur un compte particulier, le vendeur ne paie pas de commission et l'acheteur paie le port : le prix affiché est encaissé en entier. Les fonds sont libérés après validation de la réception, c'est cette date-là qui compte au registre.</t>
        </is>
      </c>
    </row>
    <row r="43">
      <c r="A43" s="3" t="inlineStr">
        <is>
          <t>Justifier une vente Vinted</t>
        </is>
      </c>
      <c r="B43" s="4" t="inlineStr">
        <is>
          <t>Vinted n'affiche AUCUN numéro de commande au vendeur. Le justificatif, c'est l'historique du porte-monnaie (Profil puis Solde) : date, montant, article. En faire une capture d'écran. Le numéro de suivi du colis et la conversation avec l'acheteur complètent la preuve.</t>
        </is>
      </c>
    </row>
    <row r="44">
      <c r="A44" s="3" t="inlineStr">
        <is>
          <t>Relevé annuel DAC7</t>
        </is>
      </c>
      <c r="B44" s="4" t="inlineStr">
        <is>
          <t>Vinted déclare au fisc les vendeurs dépassant 30 ventes ou 2 000 € par an, et envoie un relevé annuel récapitulatif vers janvier. Le conserver et VÉRIFIER QU'IL CONCORDE avec le livre des recettes : un écart entre ce que la plateforme déclare et ce que tu déclares est le premier déclencheur de contrôle.</t>
        </is>
      </c>
    </row>
    <row r="45">
      <c r="A45" s="3" t="inlineStr">
        <is>
          <t>Exporter régulièrement</t>
        </is>
      </c>
      <c r="B45" s="4" t="inlineStr">
        <is>
          <t>Les plateformes ne gardent pas l'historique cinq ans, contrairement à l'obligation de conservation. Exporter les justificatifs en PDF ou en capture, dans un dossier daté.</t>
        </is>
      </c>
    </row>
    <row r="46">
      <c r="A46" s="3" t="inlineStr">
        <is>
          <t>Plus aucune ligne jaune</t>
        </is>
      </c>
      <c r="B46" s="4" t="inlineStr">
        <is>
          <t>Tous les achats ont leur facture. Bordereau ERA n°507148 réglé en deux fois : 59,60 € le 28/07 et 24,00 € le 03/08/2026.</t>
        </is>
      </c>
    </row>
    <row r="47">
      <c r="A47" s="3" t="inlineStr">
        <is>
          <t>Défauts déclarés</t>
        </is>
      </c>
      <c r="B47" s="4" t="inlineStr">
        <is>
          <t>Deux pompes Robby portent un défaut mentionné au bordereau : socle cassé sur la ligne 122, mode manuel hors service sur la ligne 131. Le défaut se recopie dans l'annonce — un défaut caché se retourne contre le vendeur professionnel.</t>
        </is>
      </c>
    </row>
    <row r="48">
      <c r="A48" s="3" t="inlineStr">
        <is>
          <t>Import du Japon</t>
        </is>
      </c>
      <c r="B48" s="4" t="inlineStr">
        <is>
          <t>La facture Meccha Japan #FA429713 ne porte aucune TVA. Si La Poste a réclamé la TVA à 20 % et des frais de dossier à la livraison, ce montant s'ajoute au coût d'achat : le noter en ligne séparée.</t>
        </is>
      </c>
    </row>
    <row r="50">
      <c r="A50" s="2" t="inlineStr">
        <is>
          <t>IDENTITÉ DE L'ENTREPRISE</t>
        </is>
      </c>
    </row>
    <row r="51">
      <c r="A51" s="3" t="inlineStr">
        <is>
          <t>Exploitant</t>
        </is>
      </c>
      <c r="B51" s="4" t="inlineStr">
        <is>
          <t>Nacim IZRI — entrepreneur individuel (EI), enseigne Maison Nsaia.</t>
        </is>
      </c>
    </row>
    <row r="52">
      <c r="A52" s="3" t="inlineStr">
        <is>
          <t>SIRET</t>
        </is>
      </c>
      <c r="B52" s="4" t="inlineStr">
        <is>
          <t>804 431 799 00027 — SIREN 804 431 799. Clé de contrôle vérifiée.</t>
        </is>
      </c>
    </row>
    <row r="53">
      <c r="A53" s="3" t="inlineStr">
        <is>
          <t>RCS</t>
        </is>
      </c>
      <c r="B53" s="4" t="inlineStr">
        <is>
          <t>RCS Toulouse 804 431 799. À confirmer sur l'extrait K : le greffe et le numéro doivent figurer sur toute facture d'un commerçant.</t>
        </is>
      </c>
    </row>
    <row r="54">
      <c r="A54" s="3" t="inlineStr">
        <is>
          <t>Siège</t>
        </is>
      </c>
      <c r="B54" s="4" t="inlineStr">
        <is>
          <t>2 rue du Levant, 31700 Beauzelle.</t>
        </is>
      </c>
    </row>
    <row r="55">
      <c r="A55" s="3" t="inlineStr">
        <is>
          <t>Mentions obligatoires sur facture</t>
        </is>
      </c>
      <c r="B55" s="4" t="inlineStr">
        <is>
          <t>Nom, mention « EI », adresse, SIRET, RCS, numéro et date de facture, identité du client, désignation et quantité, prix unitaire, total, « TVA non applicable, art. 293 B du CGI », date et mode de règlement.</t>
        </is>
      </c>
    </row>
    <row r="56">
      <c r="A56" s="3" t="inlineStr">
        <is>
          <t>Enseigne et nom légal</t>
        </is>
      </c>
      <c r="B56" s="4" t="inlineStr">
        <is>
          <t>« Maison Nsaia » est une ENSEIGNE, pas une société : elle s'ajoute au nom, elle ne le remplace jamais. L'entrepreneur individuel n'a pas de personnalité morale distincte — le vendeur, c'est la personne. Depuis mai 2022 (art. R526-27 du code de commerce), le nom doit figurer sur tous les documents commerciaux, suivi de « EI » ou « entrepreneur individuel ».</t>
        </is>
      </c>
    </row>
    <row r="57">
      <c r="A57" s="3" t="inlineStr">
        <is>
          <t>La mise en page permise</t>
        </is>
      </c>
      <c r="B57" s="4" t="inlineStr">
        <is>
          <t>L'enseigne peut occuper l'en-tête et servir d'identité visuelle ; le nom légal descend en mention légale, en petits caractères. C'est ce que fait la facture 2026-001. Ce qui est interdit, c'est de le retirer.</t>
        </is>
      </c>
    </row>
    <row r="59">
      <c r="A59" s="2" t="inlineStr">
        <is>
          <t>OÙ VÉRIFIER</t>
        </is>
      </c>
    </row>
    <row r="60">
      <c r="A60" s="3" t="inlineStr">
        <is>
          <t>URSSAF</t>
        </is>
      </c>
      <c r="B60" s="4" t="inlineStr">
        <is>
          <t>autoentrepreneur.urssaf.fr · téléphone 3698</t>
        </is>
      </c>
    </row>
    <row r="61">
      <c r="A61" s="3" t="inlineStr">
        <is>
          <t>Obligations du commerçant</t>
        </is>
      </c>
      <c r="B61" s="4" t="inlineStr">
        <is>
          <t>entreprendre.service-public.fr</t>
        </is>
      </c>
    </row>
    <row r="62">
      <c r="A62" s="3" t="inlineStr">
        <is>
          <t>CGV et droit de la consommation</t>
        </is>
      </c>
      <c r="B62" s="4" t="inlineStr">
        <is>
          <t>DGCCRF — economie.gouv.fr/dgccrf</t>
        </is>
      </c>
    </row>
    <row r="63">
      <c r="A63" s="3" t="inlineStr">
        <is>
          <t>Conseil gratuit</t>
        </is>
      </c>
      <c r="B63" s="4" t="inlineStr">
        <is>
          <t>Chambre de Commerce et d'Industrie — les conseillers reçoivent les commerçants sans frais.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1"/>
  <sheetViews>
    <sheetView workbookViewId="0">
      <pane ySplit="5" topLeftCell="A6" activePane="bottomLeft" state="frozen"/>
      <selection pane="bottomLeft" activeCell="A1" sqref="A1"/>
    </sheetView>
  </sheetViews>
  <sheetFormatPr baseColWidth="8" defaultRowHeight="15"/>
  <cols>
    <col width="6" customWidth="1" min="1" max="1"/>
    <col width="20" customWidth="1" min="2" max="2"/>
    <col width="26" customWidth="1" min="3" max="3"/>
    <col width="44" customWidth="1" min="4" max="4"/>
    <col width="16" customWidth="1" min="5" max="5"/>
    <col width="18" customWidth="1" min="6" max="6"/>
    <col width="16" customWidth="1" min="7" max="7"/>
    <col width="32" customWidth="1" min="8" max="8"/>
    <col width="24" customWidth="1" min="9" max="9"/>
    <col width="14" customWidth="1" min="10" max="10"/>
    <col width="52" customWidth="1" min="11" max="11"/>
    <col width="15" customWidth="1" min="12" max="12"/>
  </cols>
  <sheetData>
    <row r="1">
      <c r="A1" s="1" t="inlineStr">
        <is>
          <t>Livre des recettes — Maison Nsaia</t>
        </is>
      </c>
    </row>
    <row r="2">
      <c r="A2" s="5" t="inlineStr">
        <is>
          <t>Obligatoire pour toute micro-entreprise. Une ligne par encaissement, dans l'ordre chronologique.</t>
        </is>
      </c>
    </row>
    <row r="3">
      <c r="A3" s="5" t="inlineStr">
        <is>
          <t>On inscrit la vente le jour où l'argent arrive, pas le jour où elle est conclue. Ne jamais supprimer ni réordonner une ligne.</t>
        </is>
      </c>
      <c r="K3" s="2" t="inlineStr">
        <is>
          <t>TOTAUX</t>
        </is>
      </c>
    </row>
    <row r="4">
      <c r="K4" s="3" t="inlineStr">
        <is>
          <t>Recettes encaissées, total</t>
        </is>
      </c>
      <c r="L4" s="6">
        <f>SUM(E6:E311)</f>
        <v/>
      </c>
    </row>
    <row r="5" ht="34" customHeight="1">
      <c r="A5" s="7" t="inlineStr">
        <is>
          <t>N°</t>
        </is>
      </c>
      <c r="B5" s="7" t="inlineStr">
        <is>
          <t>Date d'encaissement</t>
        </is>
      </c>
      <c r="C5" s="7" t="inlineStr">
        <is>
          <t>Client</t>
        </is>
      </c>
      <c r="D5" s="7" t="inlineStr">
        <is>
          <t>Désignation</t>
        </is>
      </c>
      <c r="E5" s="7" t="inlineStr">
        <is>
          <t>Montant encaissé</t>
        </is>
      </c>
      <c r="F5" s="7" t="inlineStr">
        <is>
          <t>Mode de règlement</t>
        </is>
      </c>
      <c r="G5" s="7" t="inlineStr">
        <is>
          <t>Canal</t>
        </is>
      </c>
      <c r="H5" s="7" t="inlineStr">
        <is>
          <t>Référence / pièce justificative</t>
        </is>
      </c>
      <c r="I5" s="7" t="inlineStr">
        <is>
          <t>Nature de la recette</t>
        </is>
      </c>
      <c r="J5" s="7" t="inlineStr">
        <is>
          <t>Trimestre</t>
        </is>
      </c>
      <c r="K5" s="8" t="inlineStr">
        <is>
          <t xml:space="preserve">  dont achat-revente</t>
        </is>
      </c>
      <c r="L5" s="9">
        <f>SUMIF(I6:I311,"Achat-revente",E6:E311)</f>
        <v/>
      </c>
    </row>
    <row r="6">
      <c r="A6" s="10">
        <f>IF(B6="","",ROW()-5)</f>
        <v/>
      </c>
      <c r="B6" s="11" t="inlineStr">
        <is>
          <t>09/08/2026</t>
        </is>
      </c>
      <c r="C6" s="11" t="inlineStr">
        <is>
          <t>Mme Aouimeur Siham</t>
        </is>
      </c>
      <c r="D6" s="11" t="inlineStr">
        <is>
          <t>T-shirt BALENCIAGA T.2</t>
        </is>
      </c>
      <c r="E6" s="12" t="n">
        <v>155</v>
      </c>
      <c r="F6" s="11" t="inlineStr">
        <is>
          <t>Espèces</t>
        </is>
      </c>
      <c r="G6" s="11" t="inlineStr">
        <is>
          <t>Main propre</t>
        </is>
      </c>
      <c r="H6" s="11" t="inlineStr">
        <is>
          <t>Facture n° 2026-001</t>
        </is>
      </c>
      <c r="I6" s="11" t="inlineStr">
        <is>
          <t>Achat-revente</t>
        </is>
      </c>
      <c r="J6" s="11">
        <f>IF(B6="","",IFERROR(RIGHT(B6,4)&amp;" T"&amp;ROUNDUP(VALUE(MID(B6,4,2))/3,0),""))</f>
        <v/>
      </c>
      <c r="K6" s="8" t="inlineStr">
        <is>
          <t xml:space="preserve">  dont prestations de services</t>
        </is>
      </c>
      <c r="L6" s="9">
        <f>SUMIF(I6:I311,"Prestation de services",E6:E311)</f>
        <v/>
      </c>
    </row>
    <row r="7">
      <c r="A7" s="10">
        <f>IF(B7="","",ROW()-5)</f>
        <v/>
      </c>
      <c r="B7" s="11" t="inlineStr">
        <is>
          <t>09/08/2026</t>
        </is>
      </c>
      <c r="C7" s="11" t="inlineStr">
        <is>
          <t>Mme Aouimeur Siham</t>
        </is>
      </c>
      <c r="D7" s="11" t="inlineStr">
        <is>
          <t>Sac demi-lune KARL LAGERFELD JEANS</t>
        </is>
      </c>
      <c r="E7" s="12" t="n">
        <v>70</v>
      </c>
      <c r="F7" s="11" t="inlineStr">
        <is>
          <t>Espèces</t>
        </is>
      </c>
      <c r="G7" s="11" t="inlineStr">
        <is>
          <t>Main propre</t>
        </is>
      </c>
      <c r="H7" s="11" t="inlineStr">
        <is>
          <t>Facture n° 2026-001</t>
        </is>
      </c>
      <c r="I7" s="11" t="inlineStr">
        <is>
          <t>Achat-revente</t>
        </is>
      </c>
      <c r="J7" s="11">
        <f>IF(B7="","",IFERROR(RIGHT(B7,4)&amp;" T"&amp;ROUNDUP(VALUE(MID(B7,4,2))/3,0),""))</f>
        <v/>
      </c>
      <c r="K7" s="8" t="inlineStr">
        <is>
          <t xml:space="preserve">  dont convoyage automobile</t>
        </is>
      </c>
      <c r="L7" s="9">
        <f>SUMIF(I6:I311,"Convoyage automobile",E6:E311)</f>
        <v/>
      </c>
    </row>
    <row r="8">
      <c r="A8" s="10">
        <f>IF(B8="","",ROW()-5)</f>
        <v/>
      </c>
      <c r="B8" s="11" t="inlineStr">
        <is>
          <t>09/08/2026</t>
        </is>
      </c>
      <c r="C8" s="11" t="inlineStr">
        <is>
          <t>Mme Aouimeur Siham</t>
        </is>
      </c>
      <c r="D8" s="11" t="inlineStr">
        <is>
          <t>LACOSTE sneakers P.42</t>
        </is>
      </c>
      <c r="E8" s="12" t="n">
        <v>70</v>
      </c>
      <c r="F8" s="11" t="inlineStr">
        <is>
          <t>Espèces</t>
        </is>
      </c>
      <c r="G8" s="11" t="inlineStr">
        <is>
          <t>Main propre</t>
        </is>
      </c>
      <c r="H8" s="11" t="inlineStr">
        <is>
          <t>Facture n° 2026-001</t>
        </is>
      </c>
      <c r="I8" s="11" t="inlineStr">
        <is>
          <t>Achat-revente</t>
        </is>
      </c>
      <c r="J8" s="11">
        <f>IF(B8="","",IFERROR(RIGHT(B8,4)&amp;" T"&amp;ROUNDUP(VALUE(MID(B8,4,2))/3,0),""))</f>
        <v/>
      </c>
      <c r="K8" s="8" t="inlineStr">
        <is>
          <t>URSSAF — 12,4 % revente · 21,3 % prestations et convoyage (taux à confirmer)</t>
        </is>
      </c>
      <c r="L8" s="9">
        <f>L5*0.124+(L6+L7)*0.213</f>
        <v/>
      </c>
    </row>
    <row r="9">
      <c r="A9" s="10">
        <f>IF(B9="","",ROW()-5)</f>
        <v/>
      </c>
      <c r="B9" s="11" t="inlineStr">
        <is>
          <t>09/08/2026</t>
        </is>
      </c>
      <c r="C9" s="11" t="inlineStr">
        <is>
          <t>Mme Aouimeur Siham</t>
        </is>
      </c>
      <c r="D9" s="11" t="inlineStr">
        <is>
          <t>Veste en jean ARMANI EXCHANGE T.S</t>
        </is>
      </c>
      <c r="E9" s="12" t="n">
        <v>50</v>
      </c>
      <c r="F9" s="11" t="inlineStr">
        <is>
          <t>Espèces</t>
        </is>
      </c>
      <c r="G9" s="11" t="inlineStr">
        <is>
          <t>Main propre</t>
        </is>
      </c>
      <c r="H9" s="11" t="inlineStr">
        <is>
          <t>Facture n° 2026-001</t>
        </is>
      </c>
      <c r="I9" s="11" t="inlineStr">
        <is>
          <t>Achat-revente</t>
        </is>
      </c>
      <c r="J9" s="11">
        <f>IF(B9="","",IFERROR(RIGHT(B9,4)&amp;" T"&amp;ROUNDUP(VALUE(MID(B9,4,2))/3,0),""))</f>
        <v/>
      </c>
      <c r="K9" s="8" t="inlineStr">
        <is>
          <t>Reste après URSSAF</t>
        </is>
      </c>
      <c r="L9" s="9">
        <f>L4-L8</f>
        <v/>
      </c>
    </row>
    <row r="10">
      <c r="A10" s="10">
        <f>IF(B10="","",ROW()-5)</f>
        <v/>
      </c>
      <c r="B10" s="11" t="inlineStr">
        <is>
          <t>10/08/2026</t>
        </is>
      </c>
      <c r="C10" s="11" t="inlineStr">
        <is>
          <t>Natalie Gulitz — Offenbach am Main, Allemagne</t>
        </is>
      </c>
      <c r="D10" s="11" t="inlineStr">
        <is>
          <t>HAVAIANAS Slim 35/36 — 1 paire</t>
        </is>
      </c>
      <c r="E10" s="12" t="n">
        <v>14</v>
      </c>
      <c r="F10" s="11" t="inlineStr">
        <is>
          <t>Virement Vinted</t>
        </is>
      </c>
      <c r="G10" s="11" t="inlineStr">
        <is>
          <t>Vinted</t>
        </is>
      </c>
      <c r="H10" s="11" t="inlineStr">
        <is>
          <t>Vinted — suivi Chronopost XU173687375JF, expédiée le 03/08/2026</t>
        </is>
      </c>
      <c r="I10" s="11" t="inlineStr">
        <is>
          <t>Achat-revente</t>
        </is>
      </c>
      <c r="J10" s="11">
        <f>IF(B10="","",IFERROR(RIGHT(B10,4)&amp;" T"&amp;ROUNDUP(VALUE(MID(B10,4,2))/3,0),""))</f>
        <v/>
      </c>
      <c r="K10" s="2" t="inlineStr">
        <is>
          <t>EN ATTENTE D'ENCAISSEMENT</t>
        </is>
      </c>
    </row>
    <row r="11">
      <c r="A11" s="10">
        <f>IF(B11="","",ROW()-5)</f>
        <v/>
      </c>
      <c r="B11" s="11" t="inlineStr">
        <is>
          <t>10/08/2026</t>
        </is>
      </c>
      <c r="C11" s="11" t="inlineStr">
        <is>
          <t>« colline_dvl » — pseudonyme Vinted</t>
        </is>
      </c>
      <c r="D11" s="11" t="inlineStr">
        <is>
          <t>HAVAIANAS Slim 35/36 — 1 paire</t>
        </is>
      </c>
      <c r="E11" s="12" t="n">
        <v>14</v>
      </c>
      <c r="F11" s="11" t="inlineStr">
        <is>
          <t>Virement Vinted</t>
        </is>
      </c>
      <c r="G11" s="11" t="inlineStr">
        <is>
          <t>Vinted</t>
        </is>
      </c>
      <c r="H11" s="11" t="inlineStr">
        <is>
          <t>Achat : FB2026-5844 lot n°120</t>
        </is>
      </c>
      <c r="I11" s="11" t="inlineStr">
        <is>
          <t>Achat-revente</t>
        </is>
      </c>
      <c r="J11" s="11">
        <f>IF(B11="","",IFERROR(RIGHT(B11,4)&amp;" T"&amp;ROUNDUP(VALUE(MID(B11,4,2))/3,0),""))</f>
        <v/>
      </c>
      <c r="K11" s="8" t="inlineStr">
        <is>
          <t>BALLERINES MASSIMO DUTTI P.41 — vendues le 17/10/2026 sur Vinted à « anavdlr »</t>
        </is>
      </c>
      <c r="L11" s="13" t="n">
        <v>50</v>
      </c>
    </row>
    <row r="12">
      <c r="A12" s="10">
        <f>IF(B12="","",ROW()-5)</f>
        <v/>
      </c>
      <c r="B12" s="11" t="inlineStr">
        <is>
          <t>21/08/2026</t>
        </is>
      </c>
      <c r="C12" s="11" t="inlineStr">
        <is>
          <t>Acheteur Vinted — Italie</t>
        </is>
      </c>
      <c r="D12" s="11" t="inlineStr">
        <is>
          <t>SALOMON X Ultra 5 Mid GTX P.44</t>
        </is>
      </c>
      <c r="E12" s="12" t="n">
        <v>100</v>
      </c>
      <c r="F12" s="11" t="inlineStr">
        <is>
          <t>Virement Vinted</t>
        </is>
      </c>
      <c r="G12" s="11" t="inlineStr">
        <is>
          <t>Vinted</t>
        </is>
      </c>
      <c r="H12" s="11" t="inlineStr">
        <is>
          <t>Vinted — vendue le 12/08/2026, expédiée le 14/08/2026 (Mondial Relay)</t>
        </is>
      </c>
      <c r="I12" s="11" t="inlineStr">
        <is>
          <t>Achat-revente</t>
        </is>
      </c>
      <c r="J12" s="11">
        <f>IF(B12="","",IFERROR(RIGHT(B12,4)&amp;" T"&amp;ROUNDUP(VALUE(MID(B12,4,2))/3,0),""))</f>
        <v/>
      </c>
      <c r="K12" s="5" t="inlineStr">
        <is>
          <t>Fonds retenus par Vinted. Relèvera du 4e trimestre 2026.</t>
        </is>
      </c>
    </row>
    <row r="13">
      <c r="A13" s="10">
        <f>IF(B13="","",ROW()-5)</f>
        <v/>
      </c>
      <c r="B13" s="11" t="inlineStr">
        <is>
          <t>10/09/2026</t>
        </is>
      </c>
      <c r="C13" s="11" t="inlineStr">
        <is>
          <t>« Calvimo » — pseudonyme Vinted</t>
        </is>
      </c>
      <c r="D13" s="11" t="inlineStr">
        <is>
          <t>NEW BALANCE GS 1906 Alkaline Green P.38½</t>
        </is>
      </c>
      <c r="E13" s="12" t="n">
        <v>99</v>
      </c>
      <c r="F13" s="11" t="inlineStr">
        <is>
          <t>Virement Vinted</t>
        </is>
      </c>
      <c r="G13" s="11" t="inlineStr">
        <is>
          <t>Vinted</t>
        </is>
      </c>
      <c r="H13" s="11" t="inlineStr">
        <is>
          <t>Achat : FB2026-43716 lot n°199</t>
        </is>
      </c>
      <c r="I13" s="11" t="inlineStr">
        <is>
          <t>Achat-revente</t>
        </is>
      </c>
      <c r="J13" s="11">
        <f>IF(B13="","",IFERROR(RIGHT(B13,4)&amp;" T"&amp;ROUNDUP(VALUE(MID(B13,4,2))/3,0),""))</f>
        <v/>
      </c>
      <c r="K13" s="3" t="inlineStr">
        <is>
          <t>À BASCULER dans le registre le jour du virement, pas avant.</t>
        </is>
      </c>
    </row>
    <row r="14">
      <c r="A14" s="10">
        <f>IF(B14="","",ROW()-5)</f>
        <v/>
      </c>
      <c r="B14" s="11" t="inlineStr">
        <is>
          <t>10/09/2026</t>
        </is>
      </c>
      <c r="C14" s="11" t="inlineStr">
        <is>
          <t>« amaliagogoi » — pseudonyme Vinted</t>
        </is>
      </c>
      <c r="D14" s="11" t="inlineStr">
        <is>
          <t>HAVAIANAS Slim 35/36 — 1 paire</t>
        </is>
      </c>
      <c r="E14" s="12" t="n">
        <v>15</v>
      </c>
      <c r="F14" s="11" t="inlineStr">
        <is>
          <t>Virement Vinted</t>
        </is>
      </c>
      <c r="G14" s="11" t="inlineStr">
        <is>
          <t>Vinted</t>
        </is>
      </c>
      <c r="H14" s="11" t="inlineStr">
        <is>
          <t>Achat : FB2026-5844 lot n°120</t>
        </is>
      </c>
      <c r="I14" s="11" t="inlineStr">
        <is>
          <t>Achat-revente</t>
        </is>
      </c>
      <c r="J14" s="11">
        <f>IF(B14="","",IFERROR(RIGHT(B14,4)&amp;" T"&amp;ROUNDUP(VALUE(MID(B14,4,2))/3,0),""))</f>
        <v/>
      </c>
      <c r="K14" s="3" t="inlineStr">
        <is>
          <t>UBER : à partir du 4e trimestre 2026 (octobre), l'URSSAF est prélevée directement par Uber — ne pas la payer deux fois. Organisation à définir.</t>
        </is>
      </c>
    </row>
    <row r="15">
      <c r="A15" s="10">
        <f>IF(B15="","",ROW()-5)</f>
        <v/>
      </c>
      <c r="B15" s="11" t="inlineStr">
        <is>
          <t>3e trimestre 2026</t>
        </is>
      </c>
      <c r="C15" s="11" t="inlineStr">
        <is>
          <t>Divers clients</t>
        </is>
      </c>
      <c r="D15" s="11" t="inlineStr">
        <is>
          <t>Livraisons Uber — prestations de services diverses</t>
        </is>
      </c>
      <c r="E15" s="12" t="n">
        <v>40</v>
      </c>
      <c r="F15" s="11" t="inlineStr">
        <is>
          <t>Virement Uber</t>
        </is>
      </c>
      <c r="G15" s="11" t="inlineStr">
        <is>
          <t>Uber</t>
        </is>
      </c>
      <c r="H15" s="11" t="inlineStr">
        <is>
          <t>Relevé de paiements Uber — déclaré au 3e trimestre 2026</t>
        </is>
      </c>
      <c r="I15" s="11" t="inlineStr">
        <is>
          <t>Prestation de services</t>
        </is>
      </c>
      <c r="J15" s="11" t="inlineStr">
        <is>
          <t>2026 T3</t>
        </is>
      </c>
      <c r="K15" s="2" t="inlineStr">
        <is>
          <t>DÉCLARATION URSSAF</t>
        </is>
      </c>
    </row>
    <row r="16">
      <c r="A16" s="10">
        <f>IF(B16="","",ROW()-5)</f>
        <v/>
      </c>
      <c r="B16" s="11" t="inlineStr">
        <is>
          <t>23/10/2026</t>
        </is>
      </c>
      <c r="C16" s="11" t="inlineStr">
        <is>
          <t>Hiflow</t>
        </is>
      </c>
      <c r="D16" s="11" t="inlineStr">
        <is>
          <t>Convoyages automobiles</t>
        </is>
      </c>
      <c r="E16" s="12" t="n">
        <v>67</v>
      </c>
      <c r="F16" s="11" t="inlineStr">
        <is>
          <t>Virement Hiflow</t>
        </is>
      </c>
      <c r="G16" s="11" t="inlineStr">
        <is>
          <t>Hiflow</t>
        </is>
      </c>
      <c r="H16" s="11" t="inlineStr">
        <is>
          <t>Facture Hiflow n°HIFNACIZR2026-S-3147 du 16/10/2026 — virement 161,80 € dont 94,80 € de frais remboursés (débours, hors CA)</t>
        </is>
      </c>
      <c r="I16" s="11" t="inlineStr">
        <is>
          <t>Convoyage automobile</t>
        </is>
      </c>
      <c r="J16" s="11">
        <f>IF(B16="","",IFERROR(RIGHT(B16,4)&amp;" T"&amp;ROUNDUP(VALUE(MID(B16,4,2))/3,0),""))</f>
        <v/>
      </c>
      <c r="K16" s="5" t="inlineStr">
        <is>
          <t>Le CA déclaré est le montant ENCAISSÉ sur la période, pas facturé.</t>
        </is>
      </c>
    </row>
    <row r="17">
      <c r="A17" s="10">
        <f>IF(B17="","",ROW()-5)</f>
        <v/>
      </c>
      <c r="B17" s="11" t="n"/>
      <c r="C17" s="11" t="n"/>
      <c r="D17" s="11" t="n"/>
      <c r="E17" s="12" t="n"/>
      <c r="F17" s="11" t="n"/>
      <c r="G17" s="11" t="n"/>
      <c r="H17" s="11" t="n"/>
      <c r="I17" s="11" t="n"/>
      <c r="J17" s="11">
        <f>IF(B17="","",IFERROR(RIGHT(B17,4)&amp;" T"&amp;ROUNDUP(VALUE(MID(B17,4,2))/3,0),""))</f>
        <v/>
      </c>
      <c r="K17" s="5" t="inlineStr">
        <is>
          <t>Une vente d'août encaissée en septembre se déclare en septembre.</t>
        </is>
      </c>
    </row>
    <row r="18">
      <c r="A18" s="10">
        <f>IF(B18="","",ROW()-5)</f>
        <v/>
      </c>
      <c r="B18" s="11" t="n"/>
      <c r="C18" s="11" t="n"/>
      <c r="D18" s="11" t="n"/>
      <c r="E18" s="12" t="n"/>
      <c r="F18" s="11" t="n"/>
      <c r="G18" s="11" t="n"/>
      <c r="H18" s="11" t="n"/>
      <c r="I18" s="11" t="n"/>
      <c r="J18" s="11">
        <f>IF(B18="","",IFERROR(RIGHT(B18,4)&amp;" T"&amp;ROUNDUP(VALUE(MID(B18,4,2))/3,0),""))</f>
        <v/>
      </c>
      <c r="K18" s="5" t="inlineStr">
        <is>
          <t>Filtrer la colonne « Date d'encaissement » pour isoler le trimestre.</t>
        </is>
      </c>
    </row>
    <row r="19">
      <c r="A19" s="10">
        <f>IF(B19="","",ROW()-5)</f>
        <v/>
      </c>
      <c r="B19" s="11" t="n"/>
      <c r="C19" s="11" t="n"/>
      <c r="D19" s="11" t="n"/>
      <c r="E19" s="12" t="n"/>
      <c r="F19" s="11" t="n"/>
      <c r="G19" s="11" t="n"/>
      <c r="H19" s="11" t="n"/>
      <c r="I19" s="11" t="n"/>
      <c r="J19" s="11">
        <f>IF(B19="","",IFERROR(RIGHT(B19,4)&amp;" T"&amp;ROUNDUP(VALUE(MID(B19,4,2))/3,0),""))</f>
        <v/>
      </c>
      <c r="K19" s="5" t="inlineStr">
        <is>
          <t>3e trimestre 2026 : 627 € déclarés (587 € de revente + 40 € de prestation), 81 € d'URSSAF payés.</t>
        </is>
      </c>
    </row>
    <row r="20">
      <c r="A20" s="10">
        <f>IF(B20="","",ROW()-5)</f>
        <v/>
      </c>
      <c r="B20" s="11" t="n"/>
      <c r="C20" s="11" t="n"/>
      <c r="D20" s="11" t="n"/>
      <c r="E20" s="12" t="n"/>
      <c r="F20" s="11" t="n"/>
      <c r="G20" s="11" t="n"/>
      <c r="H20" s="11" t="n"/>
      <c r="I20" s="11" t="n"/>
      <c r="J20" s="11">
        <f>IF(B20="","",IFERROR(RIGHT(B20,4)&amp;" T"&amp;ROUNDUP(VALUE(MID(B20,4,2))/3,0),""))</f>
        <v/>
      </c>
      <c r="K20" s="5" t="inlineStr">
        <is>
          <t>Les 206,82 € d'apports personnels n'en font PAS partie : ce ne sont pas des recettes.</t>
        </is>
      </c>
    </row>
    <row r="21">
      <c r="A21" s="10">
        <f>IF(B21="","",ROW()-5)</f>
        <v/>
      </c>
      <c r="B21" s="11" t="n"/>
      <c r="C21" s="11" t="n"/>
      <c r="D21" s="11" t="n"/>
      <c r="E21" s="12" t="n"/>
      <c r="F21" s="11" t="n"/>
      <c r="G21" s="11" t="n"/>
      <c r="H21" s="11" t="n"/>
      <c r="I21" s="11" t="n"/>
      <c r="J21" s="11">
        <f>IF(B21="","",IFERROR(RIGHT(B21,4)&amp;" T"&amp;ROUNDUP(VALUE(MID(B21,4,2))/3,0),""))</f>
        <v/>
      </c>
      <c r="K21" s="2" t="inlineStr">
        <is>
          <t>VENTES EN ESPÈCES — CE QU'IL FAUT GARDER</t>
        </is>
      </c>
    </row>
    <row r="22">
      <c r="A22" s="10">
        <f>IF(B22="","",ROW()-5)</f>
        <v/>
      </c>
      <c r="B22" s="11" t="n"/>
      <c r="C22" s="11" t="n"/>
      <c r="D22" s="11" t="n"/>
      <c r="E22" s="12" t="n"/>
      <c r="F22" s="11" t="n"/>
      <c r="G22" s="11" t="n"/>
      <c r="H22" s="11" t="n"/>
      <c r="I22" s="11" t="n"/>
      <c r="J22" s="11">
        <f>IF(B22="","",IFERROR(RIGHT(B22,4)&amp;" T"&amp;ROUNDUP(VALUE(MID(B22,4,2))/3,0),""))</f>
        <v/>
      </c>
      <c r="K22" s="5" t="inlineStr">
        <is>
          <t>Légal sans limite entre un professionnel et un particulier résidant en France jusqu'à 1 000 €</t>
        </is>
      </c>
    </row>
    <row r="23">
      <c r="A23" s="10">
        <f>IF(B23="","",ROW()-5)</f>
        <v/>
      </c>
      <c r="B23" s="11" t="n"/>
      <c r="C23" s="11" t="n"/>
      <c r="D23" s="11" t="n"/>
      <c r="E23" s="12" t="n"/>
      <c r="F23" s="11" t="n"/>
      <c r="G23" s="11" t="n"/>
      <c r="H23" s="11" t="n"/>
      <c r="I23" s="11" t="n"/>
      <c r="J23" s="11">
        <f>IF(B23="","",IFERROR(RIGHT(B23,4)&amp;" T"&amp;ROUNDUP(VALUE(MID(B23,4,2))/3,0),""))</f>
        <v/>
      </c>
      <c r="K23" s="5" t="inlineStr">
        <is>
          <t>par transaction (art. L112-6 du code monétaire et financier). Toutes les ventes sont loin du seuil.</t>
        </is>
      </c>
    </row>
    <row r="24">
      <c r="A24" s="10">
        <f>IF(B24="","",ROW()-5)</f>
        <v/>
      </c>
      <c r="B24" s="11" t="n"/>
      <c r="C24" s="11" t="n"/>
      <c r="D24" s="11" t="n"/>
      <c r="E24" s="12" t="n"/>
      <c r="F24" s="11" t="n"/>
      <c r="G24" s="11" t="n"/>
      <c r="H24" s="11" t="n"/>
      <c r="I24" s="11" t="n"/>
      <c r="J24" s="11">
        <f>IF(B24="","",IFERROR(RIGHT(B24,4)&amp;" T"&amp;ROUNDUP(VALUE(MID(B24,4,2))/3,0),""))</f>
        <v/>
      </c>
      <c r="K24" s="5" t="inlineStr"/>
    </row>
    <row r="25">
      <c r="A25" s="10">
        <f>IF(B25="","",ROW()-5)</f>
        <v/>
      </c>
      <c r="B25" s="11" t="n"/>
      <c r="C25" s="11" t="n"/>
      <c r="D25" s="11" t="n"/>
      <c r="E25" s="12" t="n"/>
      <c r="F25" s="11" t="n"/>
      <c r="G25" s="11" t="n"/>
      <c r="H25" s="11" t="n"/>
      <c r="I25" s="11" t="n"/>
      <c r="J25" s="11">
        <f>IF(B25="","",IFERROR(RIGHT(B25,4)&amp;" T"&amp;ROUNDUP(VALUE(MID(B25,4,2))/3,0),""))</f>
        <v/>
      </c>
      <c r="K25" s="5" t="inlineStr">
        <is>
          <t>La preuve d'une vente en espèces, c'est le registre plus le dépôt bancaire. Trois réflexes :</t>
        </is>
      </c>
    </row>
    <row r="26">
      <c r="A26" s="10">
        <f>IF(B26="","",ROW()-5)</f>
        <v/>
      </c>
      <c r="B26" s="11" t="n"/>
      <c r="C26" s="11" t="n"/>
      <c r="D26" s="11" t="n"/>
      <c r="E26" s="12" t="n"/>
      <c r="F26" s="11" t="n"/>
      <c r="G26" s="11" t="n"/>
      <c r="H26" s="11" t="n"/>
      <c r="I26" s="11" t="n"/>
      <c r="J26" s="11">
        <f>IF(B26="","",IFERROR(RIGHT(B26,4)&amp;" T"&amp;ROUNDUP(VALUE(MID(B26,4,2))/3,0),""))</f>
        <v/>
      </c>
      <c r="K26" s="5" t="inlineStr">
        <is>
          <t xml:space="preserve">  1. Une note de vente par transaction — date, article, prix, nom de l'acheteur. Un carnet suffit.</t>
        </is>
      </c>
    </row>
    <row r="27">
      <c r="A27" s="10">
        <f>IF(B27="","",ROW()-5)</f>
        <v/>
      </c>
      <c r="B27" s="11" t="n"/>
      <c r="C27" s="11" t="n"/>
      <c r="D27" s="11" t="n"/>
      <c r="E27" s="12" t="n"/>
      <c r="F27" s="11" t="n"/>
      <c r="G27" s="11" t="n"/>
      <c r="H27" s="11" t="n"/>
      <c r="I27" s="11" t="n"/>
      <c r="J27" s="11">
        <f>IF(B27="","",IFERROR(RIGHT(B27,4)&amp;" T"&amp;ROUNDUP(VALUE(MID(B27,4,2))/3,0),""))</f>
        <v/>
      </c>
      <c r="K27" s="5" t="inlineStr">
        <is>
          <t xml:space="preserve">  2. Déposer sur le compte professionnel, pas sur le compte personnel : le détour brouille la piste.</t>
        </is>
      </c>
    </row>
    <row r="28">
      <c r="A28" s="10">
        <f>IF(B28="","",ROW()-5)</f>
        <v/>
      </c>
      <c r="B28" s="11" t="n"/>
      <c r="C28" s="11" t="n"/>
      <c r="D28" s="11" t="n"/>
      <c r="E28" s="12" t="n"/>
      <c r="F28" s="11" t="n"/>
      <c r="G28" s="11" t="n"/>
      <c r="H28" s="11" t="n"/>
      <c r="I28" s="11" t="n"/>
      <c r="J28" s="11">
        <f>IF(B28="","",IFERROR(RIGHT(B28,4)&amp;" T"&amp;ROUNDUP(VALUE(MID(B28,4,2))/3,0),""))</f>
        <v/>
      </c>
      <c r="K28" s="5" t="inlineStr">
        <is>
          <t xml:space="preserve">  3. Déposer par montants qui recoupent le registre, pour que le relevé confirme les lignes.</t>
        </is>
      </c>
      <c r="L28" s="13" t="n">
        <v>80</v>
      </c>
    </row>
    <row r="29">
      <c r="A29" s="10">
        <f>IF(B29="","",ROW()-5)</f>
        <v/>
      </c>
      <c r="B29" s="11" t="n"/>
      <c r="C29" s="11" t="n"/>
      <c r="D29" s="11" t="n"/>
      <c r="E29" s="12" t="n"/>
      <c r="F29" s="11" t="n"/>
      <c r="G29" s="11" t="n"/>
      <c r="H29" s="11" t="n"/>
      <c r="I29" s="11" t="n"/>
      <c r="J29" s="11">
        <f>IF(B29="","",IFERROR(RIGHT(B29,4)&amp;" T"&amp;ROUNDUP(VALUE(MID(B29,4,2))/3,0),""))</f>
        <v/>
      </c>
      <c r="K29" s="8" t="inlineStr">
        <is>
          <t>Baskets NIKE Air Max Moto 2K P.44.5 — gardées, 09/08/2026</t>
        </is>
      </c>
      <c r="L29" s="13" t="n">
        <v>70</v>
      </c>
    </row>
    <row r="30">
      <c r="A30" s="10">
        <f>IF(B30="","",ROW()-5)</f>
        <v/>
      </c>
      <c r="B30" s="11" t="n"/>
      <c r="C30" s="11" t="n"/>
      <c r="D30" s="11" t="n"/>
      <c r="E30" s="12" t="n"/>
      <c r="F30" s="11" t="n"/>
      <c r="G30" s="11" t="n"/>
      <c r="H30" s="11" t="n"/>
      <c r="I30" s="11" t="n"/>
      <c r="J30" s="11">
        <f>IF(B30="","",IFERROR(RIGHT(B30,4)&amp;" T"&amp;ROUNDUP(VALUE(MID(B30,4,2))/3,0),""))</f>
        <v/>
      </c>
      <c r="K30" s="8" t="inlineStr">
        <is>
          <t>Pompe ROBBY VP550W ligne 131 — gardée, 26/07/2026</t>
        </is>
      </c>
    </row>
    <row r="31">
      <c r="A31" s="10">
        <f>IF(B31="","",ROW()-5)</f>
        <v/>
      </c>
      <c r="B31" s="11" t="n"/>
      <c r="C31" s="11" t="n"/>
      <c r="D31" s="11" t="n"/>
      <c r="E31" s="12" t="n"/>
      <c r="F31" s="11" t="n"/>
      <c r="G31" s="11" t="n"/>
      <c r="H31" s="11" t="n"/>
      <c r="I31" s="11" t="n"/>
      <c r="J31" s="11">
        <f>IF(B31="","",IFERROR(RIGHT(B31,4)&amp;" T"&amp;ROUNDUP(VALUE(MID(B31,4,2))/3,0),""))</f>
        <v/>
      </c>
      <c r="K31" s="8" t="inlineStr">
        <is>
          <t>Booster High Class MEGA Dream ex M2a — gardé, 03/08/2026</t>
        </is>
      </c>
    </row>
    <row r="32">
      <c r="A32" s="10">
        <f>IF(B32="","",ROW()-5)</f>
        <v/>
      </c>
      <c r="B32" s="11" t="n"/>
      <c r="C32" s="11" t="n"/>
      <c r="D32" s="11" t="n"/>
      <c r="E32" s="12" t="n"/>
      <c r="F32" s="11" t="n"/>
      <c r="G32" s="11" t="n"/>
      <c r="H32" s="11" t="n"/>
      <c r="I32" s="11" t="n"/>
      <c r="J32" s="11">
        <f>IF(B32="","",IFERROR(RIGHT(B32,4)&amp;" T"&amp;ROUNDUP(VALUE(MID(B32,4,2))/3,0),""))</f>
        <v/>
      </c>
    </row>
    <row r="33">
      <c r="A33" s="10">
        <f>IF(B33="","",ROW()-5)</f>
        <v/>
      </c>
      <c r="B33" s="11" t="n"/>
      <c r="C33" s="11" t="n"/>
      <c r="D33" s="11" t="n"/>
      <c r="E33" s="12" t="n"/>
      <c r="F33" s="11" t="n"/>
      <c r="G33" s="11" t="n"/>
      <c r="H33" s="11" t="n"/>
      <c r="I33" s="11" t="n"/>
      <c r="J33" s="11">
        <f>IF(B33="","",IFERROR(RIGHT(B33,4)&amp;" T"&amp;ROUNDUP(VALUE(MID(B33,4,2))/3,0),""))</f>
        <v/>
      </c>
      <c r="K33" s="5" t="inlineStr">
        <is>
          <t>Un micro-entrepreneur ne peut pas se vendre à lui-même : il n'y a pas deux personnes juridiques.</t>
        </is>
      </c>
    </row>
    <row r="34">
      <c r="A34" s="10">
        <f>IF(B34="","",ROW()-5)</f>
        <v/>
      </c>
      <c r="B34" s="11" t="n"/>
      <c r="C34" s="11" t="n"/>
      <c r="D34" s="11" t="n"/>
      <c r="E34" s="12" t="n"/>
      <c r="F34" s="11" t="n"/>
      <c r="G34" s="11" t="n"/>
      <c r="H34" s="11" t="n"/>
      <c r="I34" s="11" t="n"/>
      <c r="J34" s="11">
        <f>IF(B34="","",IFERROR(RIGHT(B34,4)&amp;" T"&amp;ROUNDUP(VALUE(MID(B34,4,2))/3,0),""))</f>
        <v/>
      </c>
      <c r="K34" s="5" t="inlineStr">
        <is>
          <t>Reprendre un article pour soi n'est pas une recette — aucun chiffre d'affaires, donc aucune URSSAF.</t>
        </is>
      </c>
    </row>
    <row r="35">
      <c r="A35" s="10">
        <f>IF(B35="","",ROW()-5)</f>
        <v/>
      </c>
      <c r="B35" s="11" t="n"/>
      <c r="C35" s="11" t="n"/>
      <c r="D35" s="11" t="n"/>
      <c r="E35" s="12" t="n"/>
      <c r="F35" s="11" t="n"/>
      <c r="G35" s="11" t="n"/>
      <c r="H35" s="11" t="n"/>
      <c r="I35" s="11" t="n"/>
      <c r="J35" s="11">
        <f>IF(B35="","",IFERROR(RIGHT(B35,4)&amp;" T"&amp;ROUNDUP(VALUE(MID(B35,4,2))/3,0),""))</f>
        <v/>
      </c>
      <c r="K35" s="5" t="inlineStr">
        <is>
          <t>Verser de l'argent de son compte personnel vers le compte pro est un APPORT, pas un encaissement.</t>
        </is>
      </c>
    </row>
    <row r="36">
      <c r="A36" s="10">
        <f>IF(B36="","",ROW()-5)</f>
        <v/>
      </c>
      <c r="B36" s="11" t="n"/>
      <c r="C36" s="11" t="n"/>
      <c r="D36" s="11" t="n"/>
      <c r="E36" s="12" t="n"/>
      <c r="F36" s="11" t="n"/>
      <c r="G36" s="11" t="n"/>
      <c r="H36" s="11" t="n"/>
      <c r="I36" s="11" t="n"/>
      <c r="J36" s="11">
        <f>IF(B36="","",IFERROR(RIGHT(B36,4)&amp;" T"&amp;ROUNDUP(VALUE(MID(B36,4,2))/3,0),""))</f>
        <v/>
      </c>
      <c r="K36" s="5" t="inlineStr">
        <is>
          <t>Ces lignes se notent en sortie au registre des objets mobiliers, jamais au livre des recettes.</t>
        </is>
      </c>
    </row>
    <row r="37">
      <c r="A37" s="10">
        <f>IF(B37="","",ROW()-5)</f>
        <v/>
      </c>
      <c r="B37" s="11" t="n"/>
      <c r="C37" s="11" t="n"/>
      <c r="D37" s="11" t="n"/>
      <c r="E37" s="12" t="n"/>
      <c r="F37" s="11" t="n"/>
      <c r="G37" s="11" t="n"/>
      <c r="H37" s="11" t="n"/>
      <c r="I37" s="11" t="n"/>
      <c r="J37" s="11">
        <f>IF(B37="","",IFERROR(RIGHT(B37,4)&amp;" T"&amp;ROUNDUP(VALUE(MID(B37,4,2))/3,0),""))</f>
        <v/>
      </c>
    </row>
    <row r="38">
      <c r="A38" s="10">
        <f>IF(B38="","",ROW()-5)</f>
        <v/>
      </c>
      <c r="B38" s="11" t="n"/>
      <c r="C38" s="11" t="n"/>
      <c r="D38" s="11" t="n"/>
      <c r="E38" s="12" t="n"/>
      <c r="F38" s="11" t="n"/>
      <c r="G38" s="11" t="n"/>
      <c r="H38" s="11" t="n"/>
      <c r="I38" s="11" t="n"/>
      <c r="J38" s="11">
        <f>IF(B38="","",IFERROR(RIGHT(B38,4)&amp;" T"&amp;ROUNDUP(VALUE(MID(B38,4,2))/3,0),""))</f>
        <v/>
      </c>
    </row>
    <row r="39">
      <c r="A39" s="10">
        <f>IF(B39="","",ROW()-5)</f>
        <v/>
      </c>
      <c r="B39" s="11" t="n"/>
      <c r="C39" s="11" t="n"/>
      <c r="D39" s="11" t="n"/>
      <c r="E39" s="12" t="n"/>
      <c r="F39" s="11" t="n"/>
      <c r="G39" s="11" t="n"/>
      <c r="H39" s="11" t="n"/>
      <c r="I39" s="11" t="n"/>
      <c r="J39" s="11">
        <f>IF(B39="","",IFERROR(RIGHT(B39,4)&amp;" T"&amp;ROUNDUP(VALUE(MID(B39,4,2))/3,0),""))</f>
        <v/>
      </c>
    </row>
    <row r="40">
      <c r="A40" s="10">
        <f>IF(B40="","",ROW()-5)</f>
        <v/>
      </c>
      <c r="B40" s="11" t="n"/>
      <c r="C40" s="11" t="n"/>
      <c r="D40" s="11" t="n"/>
      <c r="E40" s="12" t="n"/>
      <c r="F40" s="11" t="n"/>
      <c r="G40" s="11" t="n"/>
      <c r="H40" s="11" t="n"/>
      <c r="I40" s="11" t="n"/>
      <c r="J40" s="11">
        <f>IF(B40="","",IFERROR(RIGHT(B40,4)&amp;" T"&amp;ROUNDUP(VALUE(MID(B40,4,2))/3,0),""))</f>
        <v/>
      </c>
    </row>
    <row r="41">
      <c r="A41" s="10">
        <f>IF(B41="","",ROW()-5)</f>
        <v/>
      </c>
      <c r="B41" s="11" t="n"/>
      <c r="C41" s="11" t="n"/>
      <c r="D41" s="11" t="n"/>
      <c r="E41" s="12" t="n"/>
      <c r="F41" s="11" t="n"/>
      <c r="G41" s="11" t="n"/>
      <c r="H41" s="11" t="n"/>
      <c r="I41" s="11" t="n"/>
      <c r="J41" s="11">
        <f>IF(B41="","",IFERROR(RIGHT(B41,4)&amp;" T"&amp;ROUNDUP(VALUE(MID(B41,4,2))/3,0),""))</f>
        <v/>
      </c>
    </row>
    <row r="42">
      <c r="A42" s="10">
        <f>IF(B42="","",ROW()-5)</f>
        <v/>
      </c>
      <c r="B42" s="11" t="n"/>
      <c r="C42" s="11" t="n"/>
      <c r="D42" s="11" t="n"/>
      <c r="E42" s="12" t="n"/>
      <c r="F42" s="11" t="n"/>
      <c r="G42" s="11" t="n"/>
      <c r="H42" s="11" t="n"/>
      <c r="I42" s="11" t="n"/>
      <c r="J42" s="11">
        <f>IF(B42="","",IFERROR(RIGHT(B42,4)&amp;" T"&amp;ROUNDUP(VALUE(MID(B42,4,2))/3,0),""))</f>
        <v/>
      </c>
    </row>
    <row r="43">
      <c r="A43" s="10">
        <f>IF(B43="","",ROW()-5)</f>
        <v/>
      </c>
      <c r="B43" s="11" t="n"/>
      <c r="C43" s="11" t="n"/>
      <c r="D43" s="11" t="n"/>
      <c r="E43" s="12" t="n"/>
      <c r="F43" s="11" t="n"/>
      <c r="G43" s="11" t="n"/>
      <c r="H43" s="11" t="n"/>
      <c r="I43" s="11" t="n"/>
      <c r="J43" s="11">
        <f>IF(B43="","",IFERROR(RIGHT(B43,4)&amp;" T"&amp;ROUNDUP(VALUE(MID(B43,4,2))/3,0),""))</f>
        <v/>
      </c>
    </row>
    <row r="44">
      <c r="A44" s="10">
        <f>IF(B44="","",ROW()-5)</f>
        <v/>
      </c>
      <c r="B44" s="11" t="n"/>
      <c r="C44" s="11" t="n"/>
      <c r="D44" s="11" t="n"/>
      <c r="E44" s="12" t="n"/>
      <c r="F44" s="11" t="n"/>
      <c r="G44" s="11" t="n"/>
      <c r="H44" s="11" t="n"/>
      <c r="I44" s="11" t="n"/>
      <c r="J44" s="11">
        <f>IF(B44="","",IFERROR(RIGHT(B44,4)&amp;" T"&amp;ROUNDUP(VALUE(MID(B44,4,2))/3,0),""))</f>
        <v/>
      </c>
    </row>
    <row r="45">
      <c r="A45" s="10">
        <f>IF(B45="","",ROW()-5)</f>
        <v/>
      </c>
      <c r="B45" s="11" t="n"/>
      <c r="C45" s="11" t="n"/>
      <c r="D45" s="11" t="n"/>
      <c r="E45" s="12" t="n"/>
      <c r="F45" s="11" t="n"/>
      <c r="G45" s="11" t="n"/>
      <c r="H45" s="11" t="n"/>
      <c r="I45" s="11" t="n"/>
      <c r="J45" s="11">
        <f>IF(B45="","",IFERROR(RIGHT(B45,4)&amp;" T"&amp;ROUNDUP(VALUE(MID(B45,4,2))/3,0),""))</f>
        <v/>
      </c>
    </row>
    <row r="46">
      <c r="A46" s="10">
        <f>IF(B46="","",ROW()-5)</f>
        <v/>
      </c>
      <c r="B46" s="11" t="n"/>
      <c r="C46" s="11" t="n"/>
      <c r="D46" s="11" t="n"/>
      <c r="E46" s="12" t="n"/>
      <c r="F46" s="11" t="n"/>
      <c r="G46" s="11" t="n"/>
      <c r="H46" s="11" t="n"/>
      <c r="I46" s="11" t="n"/>
      <c r="J46" s="11">
        <f>IF(B46="","",IFERROR(RIGHT(B46,4)&amp;" T"&amp;ROUNDUP(VALUE(MID(B46,4,2))/3,0),""))</f>
        <v/>
      </c>
    </row>
    <row r="47">
      <c r="A47" s="10">
        <f>IF(B47="","",ROW()-5)</f>
        <v/>
      </c>
      <c r="B47" s="11" t="n"/>
      <c r="C47" s="11" t="n"/>
      <c r="D47" s="11" t="n"/>
      <c r="E47" s="12" t="n"/>
      <c r="F47" s="11" t="n"/>
      <c r="G47" s="11" t="n"/>
      <c r="H47" s="11" t="n"/>
      <c r="I47" s="11" t="n"/>
      <c r="J47" s="11">
        <f>IF(B47="","",IFERROR(RIGHT(B47,4)&amp;" T"&amp;ROUNDUP(VALUE(MID(B47,4,2))/3,0),""))</f>
        <v/>
      </c>
    </row>
    <row r="48">
      <c r="A48" s="10">
        <f>IF(B48="","",ROW()-5)</f>
        <v/>
      </c>
      <c r="B48" s="11" t="n"/>
      <c r="C48" s="11" t="n"/>
      <c r="D48" s="11" t="n"/>
      <c r="E48" s="12" t="n"/>
      <c r="F48" s="11" t="n"/>
      <c r="G48" s="11" t="n"/>
      <c r="H48" s="11" t="n"/>
      <c r="I48" s="11" t="n"/>
      <c r="J48" s="11">
        <f>IF(B48="","",IFERROR(RIGHT(B48,4)&amp;" T"&amp;ROUNDUP(VALUE(MID(B48,4,2))/3,0),""))</f>
        <v/>
      </c>
    </row>
    <row r="49">
      <c r="A49" s="10">
        <f>IF(B49="","",ROW()-5)</f>
        <v/>
      </c>
      <c r="B49" s="11" t="n"/>
      <c r="C49" s="11" t="n"/>
      <c r="D49" s="11" t="n"/>
      <c r="E49" s="12" t="n"/>
      <c r="F49" s="11" t="n"/>
      <c r="G49" s="11" t="n"/>
      <c r="H49" s="11" t="n"/>
      <c r="I49" s="11" t="n"/>
      <c r="J49" s="11">
        <f>IF(B49="","",IFERROR(RIGHT(B49,4)&amp;" T"&amp;ROUNDUP(VALUE(MID(B49,4,2))/3,0),""))</f>
        <v/>
      </c>
    </row>
    <row r="50">
      <c r="A50" s="10">
        <f>IF(B50="","",ROW()-5)</f>
        <v/>
      </c>
      <c r="B50" s="11" t="n"/>
      <c r="C50" s="11" t="n"/>
      <c r="D50" s="11" t="n"/>
      <c r="E50" s="12" t="n"/>
      <c r="F50" s="11" t="n"/>
      <c r="G50" s="11" t="n"/>
      <c r="H50" s="11" t="n"/>
      <c r="I50" s="11" t="n"/>
      <c r="J50" s="11">
        <f>IF(B50="","",IFERROR(RIGHT(B50,4)&amp;" T"&amp;ROUNDUP(VALUE(MID(B50,4,2))/3,0),""))</f>
        <v/>
      </c>
    </row>
    <row r="51">
      <c r="A51" s="10">
        <f>IF(B51="","",ROW()-5)</f>
        <v/>
      </c>
      <c r="B51" s="11" t="n"/>
      <c r="C51" s="11" t="n"/>
      <c r="D51" s="11" t="n"/>
      <c r="E51" s="12" t="n"/>
      <c r="F51" s="11" t="n"/>
      <c r="G51" s="11" t="n"/>
      <c r="H51" s="11" t="n"/>
      <c r="I51" s="11" t="n"/>
      <c r="J51" s="11">
        <f>IF(B51="","",IFERROR(RIGHT(B51,4)&amp;" T"&amp;ROUNDUP(VALUE(MID(B51,4,2))/3,0),""))</f>
        <v/>
      </c>
    </row>
    <row r="52">
      <c r="A52" s="10">
        <f>IF(B52="","",ROW()-5)</f>
        <v/>
      </c>
      <c r="B52" s="11" t="n"/>
      <c r="C52" s="11" t="n"/>
      <c r="D52" s="11" t="n"/>
      <c r="E52" s="12" t="n"/>
      <c r="F52" s="11" t="n"/>
      <c r="G52" s="11" t="n"/>
      <c r="H52" s="11" t="n"/>
      <c r="I52" s="11" t="n"/>
      <c r="J52" s="11">
        <f>IF(B52="","",IFERROR(RIGHT(B52,4)&amp;" T"&amp;ROUNDUP(VALUE(MID(B52,4,2))/3,0),""))</f>
        <v/>
      </c>
    </row>
    <row r="53">
      <c r="A53" s="10">
        <f>IF(B53="","",ROW()-5)</f>
        <v/>
      </c>
      <c r="B53" s="11" t="n"/>
      <c r="C53" s="11" t="n"/>
      <c r="D53" s="11" t="n"/>
      <c r="E53" s="12" t="n"/>
      <c r="F53" s="11" t="n"/>
      <c r="G53" s="11" t="n"/>
      <c r="H53" s="11" t="n"/>
      <c r="I53" s="11" t="n"/>
      <c r="J53" s="11">
        <f>IF(B53="","",IFERROR(RIGHT(B53,4)&amp;" T"&amp;ROUNDUP(VALUE(MID(B53,4,2))/3,0),""))</f>
        <v/>
      </c>
    </row>
    <row r="54">
      <c r="A54" s="10">
        <f>IF(B54="","",ROW()-5)</f>
        <v/>
      </c>
      <c r="B54" s="11" t="n"/>
      <c r="C54" s="11" t="n"/>
      <c r="D54" s="11" t="n"/>
      <c r="E54" s="12" t="n"/>
      <c r="F54" s="11" t="n"/>
      <c r="G54" s="11" t="n"/>
      <c r="H54" s="11" t="n"/>
      <c r="I54" s="11" t="n"/>
      <c r="J54" s="11">
        <f>IF(B54="","",IFERROR(RIGHT(B54,4)&amp;" T"&amp;ROUNDUP(VALUE(MID(B54,4,2))/3,0),""))</f>
        <v/>
      </c>
    </row>
    <row r="55">
      <c r="A55" s="10">
        <f>IF(B55="","",ROW()-5)</f>
        <v/>
      </c>
      <c r="B55" s="11" t="n"/>
      <c r="C55" s="11" t="n"/>
      <c r="D55" s="11" t="n"/>
      <c r="E55" s="12" t="n"/>
      <c r="F55" s="11" t="n"/>
      <c r="G55" s="11" t="n"/>
      <c r="H55" s="11" t="n"/>
      <c r="I55" s="11" t="n"/>
      <c r="J55" s="11">
        <f>IF(B55="","",IFERROR(RIGHT(B55,4)&amp;" T"&amp;ROUNDUP(VALUE(MID(B55,4,2))/3,0),""))</f>
        <v/>
      </c>
    </row>
    <row r="56">
      <c r="A56" s="10">
        <f>IF(B56="","",ROW()-5)</f>
        <v/>
      </c>
      <c r="B56" s="11" t="n"/>
      <c r="C56" s="11" t="n"/>
      <c r="D56" s="11" t="n"/>
      <c r="E56" s="12" t="n"/>
      <c r="F56" s="11" t="n"/>
      <c r="G56" s="11" t="n"/>
      <c r="H56" s="11" t="n"/>
      <c r="I56" s="11" t="n"/>
      <c r="J56" s="11">
        <f>IF(B56="","",IFERROR(RIGHT(B56,4)&amp;" T"&amp;ROUNDUP(VALUE(MID(B56,4,2))/3,0),""))</f>
        <v/>
      </c>
    </row>
    <row r="57">
      <c r="A57" s="10">
        <f>IF(B57="","",ROW()-5)</f>
        <v/>
      </c>
      <c r="B57" s="11" t="n"/>
      <c r="C57" s="11" t="n"/>
      <c r="D57" s="11" t="n"/>
      <c r="E57" s="12" t="n"/>
      <c r="F57" s="11" t="n"/>
      <c r="G57" s="11" t="n"/>
      <c r="H57" s="11" t="n"/>
      <c r="I57" s="11" t="n"/>
      <c r="J57" s="11">
        <f>IF(B57="","",IFERROR(RIGHT(B57,4)&amp;" T"&amp;ROUNDUP(VALUE(MID(B57,4,2))/3,0),""))</f>
        <v/>
      </c>
    </row>
    <row r="58">
      <c r="A58" s="10">
        <f>IF(B58="","",ROW()-5)</f>
        <v/>
      </c>
      <c r="B58" s="11" t="n"/>
      <c r="C58" s="11" t="n"/>
      <c r="D58" s="11" t="n"/>
      <c r="E58" s="12" t="n"/>
      <c r="F58" s="11" t="n"/>
      <c r="G58" s="11" t="n"/>
      <c r="H58" s="11" t="n"/>
      <c r="I58" s="11" t="n"/>
      <c r="J58" s="11">
        <f>IF(B58="","",IFERROR(RIGHT(B58,4)&amp;" T"&amp;ROUNDUP(VALUE(MID(B58,4,2))/3,0),""))</f>
        <v/>
      </c>
    </row>
    <row r="59">
      <c r="A59" s="10">
        <f>IF(B59="","",ROW()-5)</f>
        <v/>
      </c>
      <c r="B59" s="11" t="n"/>
      <c r="C59" s="11" t="n"/>
      <c r="D59" s="11" t="n"/>
      <c r="E59" s="12" t="n"/>
      <c r="F59" s="11" t="n"/>
      <c r="G59" s="11" t="n"/>
      <c r="H59" s="11" t="n"/>
      <c r="I59" s="11" t="n"/>
      <c r="J59" s="11">
        <f>IF(B59="","",IFERROR(RIGHT(B59,4)&amp;" T"&amp;ROUNDUP(VALUE(MID(B59,4,2))/3,0),""))</f>
        <v/>
      </c>
    </row>
    <row r="60">
      <c r="A60" s="10">
        <f>IF(B60="","",ROW()-5)</f>
        <v/>
      </c>
      <c r="B60" s="11" t="n"/>
      <c r="C60" s="11" t="n"/>
      <c r="D60" s="11" t="n"/>
      <c r="E60" s="12" t="n"/>
      <c r="F60" s="11" t="n"/>
      <c r="G60" s="11" t="n"/>
      <c r="H60" s="11" t="n"/>
      <c r="I60" s="11" t="n"/>
      <c r="J60" s="11">
        <f>IF(B60="","",IFERROR(RIGHT(B60,4)&amp;" T"&amp;ROUNDUP(VALUE(MID(B60,4,2))/3,0),""))</f>
        <v/>
      </c>
    </row>
    <row r="61">
      <c r="A61" s="10">
        <f>IF(B61="","",ROW()-5)</f>
        <v/>
      </c>
      <c r="B61" s="11" t="n"/>
      <c r="C61" s="11" t="n"/>
      <c r="D61" s="11" t="n"/>
      <c r="E61" s="12" t="n"/>
      <c r="F61" s="11" t="n"/>
      <c r="G61" s="11" t="n"/>
      <c r="H61" s="11" t="n"/>
      <c r="I61" s="11" t="n"/>
      <c r="J61" s="11">
        <f>IF(B61="","",IFERROR(RIGHT(B61,4)&amp;" T"&amp;ROUNDUP(VALUE(MID(B61,4,2))/3,0),""))</f>
        <v/>
      </c>
    </row>
    <row r="62">
      <c r="A62" s="10">
        <f>IF(B62="","",ROW()-5)</f>
        <v/>
      </c>
      <c r="B62" s="11" t="n"/>
      <c r="C62" s="11" t="n"/>
      <c r="D62" s="11" t="n"/>
      <c r="E62" s="12" t="n"/>
      <c r="F62" s="11" t="n"/>
      <c r="G62" s="11" t="n"/>
      <c r="H62" s="11" t="n"/>
      <c r="I62" s="11" t="n"/>
      <c r="J62" s="11">
        <f>IF(B62="","",IFERROR(RIGHT(B62,4)&amp;" T"&amp;ROUNDUP(VALUE(MID(B62,4,2))/3,0),""))</f>
        <v/>
      </c>
    </row>
    <row r="63">
      <c r="A63" s="10">
        <f>IF(B63="","",ROW()-5)</f>
        <v/>
      </c>
      <c r="B63" s="11" t="n"/>
      <c r="C63" s="11" t="n"/>
      <c r="D63" s="11" t="n"/>
      <c r="E63" s="12" t="n"/>
      <c r="F63" s="11" t="n"/>
      <c r="G63" s="11" t="n"/>
      <c r="H63" s="11" t="n"/>
      <c r="I63" s="11" t="n"/>
      <c r="J63" s="11">
        <f>IF(B63="","",IFERROR(RIGHT(B63,4)&amp;" T"&amp;ROUNDUP(VALUE(MID(B63,4,2))/3,0),""))</f>
        <v/>
      </c>
    </row>
    <row r="64">
      <c r="A64" s="10">
        <f>IF(B64="","",ROW()-5)</f>
        <v/>
      </c>
      <c r="B64" s="11" t="n"/>
      <c r="C64" s="11" t="n"/>
      <c r="D64" s="11" t="n"/>
      <c r="E64" s="12" t="n"/>
      <c r="F64" s="11" t="n"/>
      <c r="G64" s="11" t="n"/>
      <c r="H64" s="11" t="n"/>
      <c r="I64" s="11" t="n"/>
      <c r="J64" s="11">
        <f>IF(B64="","",IFERROR(RIGHT(B64,4)&amp;" T"&amp;ROUNDUP(VALUE(MID(B64,4,2))/3,0),""))</f>
        <v/>
      </c>
    </row>
    <row r="65">
      <c r="A65" s="10">
        <f>IF(B65="","",ROW()-5)</f>
        <v/>
      </c>
      <c r="B65" s="11" t="n"/>
      <c r="C65" s="11" t="n"/>
      <c r="D65" s="11" t="n"/>
      <c r="E65" s="12" t="n"/>
      <c r="F65" s="11" t="n"/>
      <c r="G65" s="11" t="n"/>
      <c r="H65" s="11" t="n"/>
      <c r="I65" s="11" t="n"/>
      <c r="J65" s="11">
        <f>IF(B65="","",IFERROR(RIGHT(B65,4)&amp;" T"&amp;ROUNDUP(VALUE(MID(B65,4,2))/3,0),""))</f>
        <v/>
      </c>
    </row>
    <row r="66">
      <c r="A66" s="10">
        <f>IF(B66="","",ROW()-5)</f>
        <v/>
      </c>
      <c r="B66" s="11" t="n"/>
      <c r="C66" s="11" t="n"/>
      <c r="D66" s="11" t="n"/>
      <c r="E66" s="12" t="n"/>
      <c r="F66" s="11" t="n"/>
      <c r="G66" s="11" t="n"/>
      <c r="H66" s="11" t="n"/>
      <c r="I66" s="11" t="n"/>
      <c r="J66" s="11">
        <f>IF(B66="","",IFERROR(RIGHT(B66,4)&amp;" T"&amp;ROUNDUP(VALUE(MID(B66,4,2))/3,0),""))</f>
        <v/>
      </c>
    </row>
    <row r="67">
      <c r="A67" s="10">
        <f>IF(B67="","",ROW()-5)</f>
        <v/>
      </c>
      <c r="B67" s="11" t="n"/>
      <c r="C67" s="11" t="n"/>
      <c r="D67" s="11" t="n"/>
      <c r="E67" s="12" t="n"/>
      <c r="F67" s="11" t="n"/>
      <c r="G67" s="11" t="n"/>
      <c r="H67" s="11" t="n"/>
      <c r="I67" s="11" t="n"/>
      <c r="J67" s="11">
        <f>IF(B67="","",IFERROR(RIGHT(B67,4)&amp;" T"&amp;ROUNDUP(VALUE(MID(B67,4,2))/3,0),""))</f>
        <v/>
      </c>
    </row>
    <row r="68">
      <c r="A68" s="10">
        <f>IF(B68="","",ROW()-5)</f>
        <v/>
      </c>
      <c r="B68" s="11" t="n"/>
      <c r="C68" s="11" t="n"/>
      <c r="D68" s="11" t="n"/>
      <c r="E68" s="12" t="n"/>
      <c r="F68" s="11" t="n"/>
      <c r="G68" s="11" t="n"/>
      <c r="H68" s="11" t="n"/>
      <c r="I68" s="11" t="n"/>
      <c r="J68" s="11">
        <f>IF(B68="","",IFERROR(RIGHT(B68,4)&amp;" T"&amp;ROUNDUP(VALUE(MID(B68,4,2))/3,0),""))</f>
        <v/>
      </c>
    </row>
    <row r="69">
      <c r="A69" s="10">
        <f>IF(B69="","",ROW()-5)</f>
        <v/>
      </c>
      <c r="B69" s="11" t="n"/>
      <c r="C69" s="11" t="n"/>
      <c r="D69" s="11" t="n"/>
      <c r="E69" s="12" t="n"/>
      <c r="F69" s="11" t="n"/>
      <c r="G69" s="11" t="n"/>
      <c r="H69" s="11" t="n"/>
      <c r="I69" s="11" t="n"/>
      <c r="J69" s="11">
        <f>IF(B69="","",IFERROR(RIGHT(B69,4)&amp;" T"&amp;ROUNDUP(VALUE(MID(B69,4,2))/3,0),""))</f>
        <v/>
      </c>
    </row>
    <row r="70">
      <c r="A70" s="10">
        <f>IF(B70="","",ROW()-5)</f>
        <v/>
      </c>
      <c r="B70" s="11" t="n"/>
      <c r="C70" s="11" t="n"/>
      <c r="D70" s="11" t="n"/>
      <c r="E70" s="12" t="n"/>
      <c r="F70" s="11" t="n"/>
      <c r="G70" s="11" t="n"/>
      <c r="H70" s="11" t="n"/>
      <c r="I70" s="11" t="n"/>
      <c r="J70" s="11">
        <f>IF(B70="","",IFERROR(RIGHT(B70,4)&amp;" T"&amp;ROUNDUP(VALUE(MID(B70,4,2))/3,0),""))</f>
        <v/>
      </c>
    </row>
    <row r="71">
      <c r="A71" s="10">
        <f>IF(B71="","",ROW()-5)</f>
        <v/>
      </c>
      <c r="B71" s="11" t="n"/>
      <c r="C71" s="11" t="n"/>
      <c r="D71" s="11" t="n"/>
      <c r="E71" s="12" t="n"/>
      <c r="F71" s="11" t="n"/>
      <c r="G71" s="11" t="n"/>
      <c r="H71" s="11" t="n"/>
      <c r="I71" s="11" t="n"/>
      <c r="J71" s="11">
        <f>IF(B71="","",IFERROR(RIGHT(B71,4)&amp;" T"&amp;ROUNDUP(VALUE(MID(B71,4,2))/3,0),""))</f>
        <v/>
      </c>
    </row>
    <row r="72">
      <c r="A72" s="10">
        <f>IF(B72="","",ROW()-5)</f>
        <v/>
      </c>
      <c r="B72" s="11" t="n"/>
      <c r="C72" s="11" t="n"/>
      <c r="D72" s="11" t="n"/>
      <c r="E72" s="12" t="n"/>
      <c r="F72" s="11" t="n"/>
      <c r="G72" s="11" t="n"/>
      <c r="H72" s="11" t="n"/>
      <c r="I72" s="11" t="n"/>
      <c r="J72" s="11">
        <f>IF(B72="","",IFERROR(RIGHT(B72,4)&amp;" T"&amp;ROUNDUP(VALUE(MID(B72,4,2))/3,0),""))</f>
        <v/>
      </c>
    </row>
    <row r="73">
      <c r="A73" s="10">
        <f>IF(B73="","",ROW()-5)</f>
        <v/>
      </c>
      <c r="B73" s="11" t="n"/>
      <c r="C73" s="11" t="n"/>
      <c r="D73" s="11" t="n"/>
      <c r="E73" s="12" t="n"/>
      <c r="F73" s="11" t="n"/>
      <c r="G73" s="11" t="n"/>
      <c r="H73" s="11" t="n"/>
      <c r="I73" s="11" t="n"/>
      <c r="J73" s="11">
        <f>IF(B73="","",IFERROR(RIGHT(B73,4)&amp;" T"&amp;ROUNDUP(VALUE(MID(B73,4,2))/3,0),""))</f>
        <v/>
      </c>
    </row>
    <row r="74">
      <c r="A74" s="10">
        <f>IF(B74="","",ROW()-5)</f>
        <v/>
      </c>
      <c r="B74" s="11" t="n"/>
      <c r="C74" s="11" t="n"/>
      <c r="D74" s="11" t="n"/>
      <c r="E74" s="12" t="n"/>
      <c r="F74" s="11" t="n"/>
      <c r="G74" s="11" t="n"/>
      <c r="H74" s="11" t="n"/>
      <c r="I74" s="11" t="n"/>
      <c r="J74" s="11">
        <f>IF(B74="","",IFERROR(RIGHT(B74,4)&amp;" T"&amp;ROUNDUP(VALUE(MID(B74,4,2))/3,0),""))</f>
        <v/>
      </c>
    </row>
    <row r="75">
      <c r="A75" s="10">
        <f>IF(B75="","",ROW()-5)</f>
        <v/>
      </c>
      <c r="B75" s="11" t="n"/>
      <c r="C75" s="11" t="n"/>
      <c r="D75" s="11" t="n"/>
      <c r="E75" s="12" t="n"/>
      <c r="F75" s="11" t="n"/>
      <c r="G75" s="11" t="n"/>
      <c r="H75" s="11" t="n"/>
      <c r="I75" s="11" t="n"/>
      <c r="J75" s="11">
        <f>IF(B75="","",IFERROR(RIGHT(B75,4)&amp;" T"&amp;ROUNDUP(VALUE(MID(B75,4,2))/3,0),""))</f>
        <v/>
      </c>
    </row>
    <row r="76">
      <c r="A76" s="10">
        <f>IF(B76="","",ROW()-5)</f>
        <v/>
      </c>
      <c r="B76" s="11" t="n"/>
      <c r="C76" s="11" t="n"/>
      <c r="D76" s="11" t="n"/>
      <c r="E76" s="12" t="n"/>
      <c r="F76" s="11" t="n"/>
      <c r="G76" s="11" t="n"/>
      <c r="H76" s="11" t="n"/>
      <c r="I76" s="11" t="n"/>
      <c r="J76" s="11">
        <f>IF(B76="","",IFERROR(RIGHT(B76,4)&amp;" T"&amp;ROUNDUP(VALUE(MID(B76,4,2))/3,0),""))</f>
        <v/>
      </c>
    </row>
    <row r="77">
      <c r="A77" s="10">
        <f>IF(B77="","",ROW()-5)</f>
        <v/>
      </c>
      <c r="B77" s="11" t="n"/>
      <c r="C77" s="11" t="n"/>
      <c r="D77" s="11" t="n"/>
      <c r="E77" s="12" t="n"/>
      <c r="F77" s="11" t="n"/>
      <c r="G77" s="11" t="n"/>
      <c r="H77" s="11" t="n"/>
      <c r="I77" s="11" t="n"/>
      <c r="J77" s="11">
        <f>IF(B77="","",IFERROR(RIGHT(B77,4)&amp;" T"&amp;ROUNDUP(VALUE(MID(B77,4,2))/3,0),""))</f>
        <v/>
      </c>
    </row>
    <row r="78">
      <c r="A78" s="10">
        <f>IF(B78="","",ROW()-5)</f>
        <v/>
      </c>
      <c r="B78" s="11" t="n"/>
      <c r="C78" s="11" t="n"/>
      <c r="D78" s="11" t="n"/>
      <c r="E78" s="12" t="n"/>
      <c r="F78" s="11" t="n"/>
      <c r="G78" s="11" t="n"/>
      <c r="H78" s="11" t="n"/>
      <c r="I78" s="11" t="n"/>
      <c r="J78" s="11">
        <f>IF(B78="","",IFERROR(RIGHT(B78,4)&amp;" T"&amp;ROUNDUP(VALUE(MID(B78,4,2))/3,0),""))</f>
        <v/>
      </c>
    </row>
    <row r="79">
      <c r="A79" s="10">
        <f>IF(B79="","",ROW()-5)</f>
        <v/>
      </c>
      <c r="B79" s="11" t="n"/>
      <c r="C79" s="11" t="n"/>
      <c r="D79" s="11" t="n"/>
      <c r="E79" s="12" t="n"/>
      <c r="F79" s="11" t="n"/>
      <c r="G79" s="11" t="n"/>
      <c r="H79" s="11" t="n"/>
      <c r="I79" s="11" t="n"/>
      <c r="J79" s="11">
        <f>IF(B79="","",IFERROR(RIGHT(B79,4)&amp;" T"&amp;ROUNDUP(VALUE(MID(B79,4,2))/3,0),""))</f>
        <v/>
      </c>
    </row>
    <row r="80">
      <c r="A80" s="10">
        <f>IF(B80="","",ROW()-5)</f>
        <v/>
      </c>
      <c r="B80" s="11" t="n"/>
      <c r="C80" s="11" t="n"/>
      <c r="D80" s="11" t="n"/>
      <c r="E80" s="12" t="n"/>
      <c r="F80" s="11" t="n"/>
      <c r="G80" s="11" t="n"/>
      <c r="H80" s="11" t="n"/>
      <c r="I80" s="11" t="n"/>
      <c r="J80" s="11">
        <f>IF(B80="","",IFERROR(RIGHT(B80,4)&amp;" T"&amp;ROUNDUP(VALUE(MID(B80,4,2))/3,0),""))</f>
        <v/>
      </c>
    </row>
    <row r="81">
      <c r="A81" s="10">
        <f>IF(B81="","",ROW()-5)</f>
        <v/>
      </c>
      <c r="B81" s="11" t="n"/>
      <c r="C81" s="11" t="n"/>
      <c r="D81" s="11" t="n"/>
      <c r="E81" s="12" t="n"/>
      <c r="F81" s="11" t="n"/>
      <c r="G81" s="11" t="n"/>
      <c r="H81" s="11" t="n"/>
      <c r="I81" s="11" t="n"/>
      <c r="J81" s="11">
        <f>IF(B81="","",IFERROR(RIGHT(B81,4)&amp;" T"&amp;ROUNDUP(VALUE(MID(B81,4,2))/3,0),""))</f>
        <v/>
      </c>
    </row>
    <row r="82">
      <c r="A82" s="10">
        <f>IF(B82="","",ROW()-5)</f>
        <v/>
      </c>
      <c r="B82" s="11" t="n"/>
      <c r="C82" s="11" t="n"/>
      <c r="D82" s="11" t="n"/>
      <c r="E82" s="12" t="n"/>
      <c r="F82" s="11" t="n"/>
      <c r="G82" s="11" t="n"/>
      <c r="H82" s="11" t="n"/>
      <c r="I82" s="11" t="n"/>
      <c r="J82" s="11">
        <f>IF(B82="","",IFERROR(RIGHT(B82,4)&amp;" T"&amp;ROUNDUP(VALUE(MID(B82,4,2))/3,0),""))</f>
        <v/>
      </c>
    </row>
    <row r="83">
      <c r="A83" s="10">
        <f>IF(B83="","",ROW()-5)</f>
        <v/>
      </c>
      <c r="B83" s="11" t="n"/>
      <c r="C83" s="11" t="n"/>
      <c r="D83" s="11" t="n"/>
      <c r="E83" s="12" t="n"/>
      <c r="F83" s="11" t="n"/>
      <c r="G83" s="11" t="n"/>
      <c r="H83" s="11" t="n"/>
      <c r="I83" s="11" t="n"/>
      <c r="J83" s="11">
        <f>IF(B83="","",IFERROR(RIGHT(B83,4)&amp;" T"&amp;ROUNDUP(VALUE(MID(B83,4,2))/3,0),""))</f>
        <v/>
      </c>
    </row>
    <row r="84">
      <c r="A84" s="10">
        <f>IF(B84="","",ROW()-5)</f>
        <v/>
      </c>
      <c r="B84" s="11" t="n"/>
      <c r="C84" s="11" t="n"/>
      <c r="D84" s="11" t="n"/>
      <c r="E84" s="12" t="n"/>
      <c r="F84" s="11" t="n"/>
      <c r="G84" s="11" t="n"/>
      <c r="H84" s="11" t="n"/>
      <c r="I84" s="11" t="n"/>
      <c r="J84" s="11">
        <f>IF(B84="","",IFERROR(RIGHT(B84,4)&amp;" T"&amp;ROUNDUP(VALUE(MID(B84,4,2))/3,0),""))</f>
        <v/>
      </c>
    </row>
    <row r="85">
      <c r="A85" s="10">
        <f>IF(B85="","",ROW()-5)</f>
        <v/>
      </c>
      <c r="B85" s="11" t="n"/>
      <c r="C85" s="11" t="n"/>
      <c r="D85" s="11" t="n"/>
      <c r="E85" s="12" t="n"/>
      <c r="F85" s="11" t="n"/>
      <c r="G85" s="11" t="n"/>
      <c r="H85" s="11" t="n"/>
      <c r="I85" s="11" t="n"/>
      <c r="J85" s="11">
        <f>IF(B85="","",IFERROR(RIGHT(B85,4)&amp;" T"&amp;ROUNDUP(VALUE(MID(B85,4,2))/3,0),""))</f>
        <v/>
      </c>
    </row>
    <row r="86">
      <c r="A86" s="10">
        <f>IF(B86="","",ROW()-5)</f>
        <v/>
      </c>
      <c r="B86" s="11" t="n"/>
      <c r="C86" s="11" t="n"/>
      <c r="D86" s="11" t="n"/>
      <c r="E86" s="12" t="n"/>
      <c r="F86" s="11" t="n"/>
      <c r="G86" s="11" t="n"/>
      <c r="H86" s="11" t="n"/>
      <c r="I86" s="11" t="n"/>
      <c r="J86" s="11">
        <f>IF(B86="","",IFERROR(RIGHT(B86,4)&amp;" T"&amp;ROUNDUP(VALUE(MID(B86,4,2))/3,0),""))</f>
        <v/>
      </c>
    </row>
    <row r="87">
      <c r="A87" s="10">
        <f>IF(B87="","",ROW()-5)</f>
        <v/>
      </c>
      <c r="B87" s="11" t="n"/>
      <c r="C87" s="11" t="n"/>
      <c r="D87" s="11" t="n"/>
      <c r="E87" s="12" t="n"/>
      <c r="F87" s="11" t="n"/>
      <c r="G87" s="11" t="n"/>
      <c r="H87" s="11" t="n"/>
      <c r="I87" s="11" t="n"/>
      <c r="J87" s="11">
        <f>IF(B87="","",IFERROR(RIGHT(B87,4)&amp;" T"&amp;ROUNDUP(VALUE(MID(B87,4,2))/3,0),""))</f>
        <v/>
      </c>
    </row>
    <row r="88">
      <c r="A88" s="10">
        <f>IF(B88="","",ROW()-5)</f>
        <v/>
      </c>
      <c r="B88" s="11" t="n"/>
      <c r="C88" s="11" t="n"/>
      <c r="D88" s="11" t="n"/>
      <c r="E88" s="12" t="n"/>
      <c r="F88" s="11" t="n"/>
      <c r="G88" s="11" t="n"/>
      <c r="H88" s="11" t="n"/>
      <c r="I88" s="11" t="n"/>
      <c r="J88" s="11">
        <f>IF(B88="","",IFERROR(RIGHT(B88,4)&amp;" T"&amp;ROUNDUP(VALUE(MID(B88,4,2))/3,0),""))</f>
        <v/>
      </c>
    </row>
    <row r="89">
      <c r="A89" s="10">
        <f>IF(B89="","",ROW()-5)</f>
        <v/>
      </c>
      <c r="B89" s="11" t="n"/>
      <c r="C89" s="11" t="n"/>
      <c r="D89" s="11" t="n"/>
      <c r="E89" s="12" t="n"/>
      <c r="F89" s="11" t="n"/>
      <c r="G89" s="11" t="n"/>
      <c r="H89" s="11" t="n"/>
      <c r="I89" s="11" t="n"/>
      <c r="J89" s="11">
        <f>IF(B89="","",IFERROR(RIGHT(B89,4)&amp;" T"&amp;ROUNDUP(VALUE(MID(B89,4,2))/3,0),""))</f>
        <v/>
      </c>
    </row>
    <row r="90">
      <c r="A90" s="10">
        <f>IF(B90="","",ROW()-5)</f>
        <v/>
      </c>
      <c r="B90" s="11" t="n"/>
      <c r="C90" s="11" t="n"/>
      <c r="D90" s="11" t="n"/>
      <c r="E90" s="12" t="n"/>
      <c r="F90" s="11" t="n"/>
      <c r="G90" s="11" t="n"/>
      <c r="H90" s="11" t="n"/>
      <c r="I90" s="11" t="n"/>
      <c r="J90" s="11">
        <f>IF(B90="","",IFERROR(RIGHT(B90,4)&amp;" T"&amp;ROUNDUP(VALUE(MID(B90,4,2))/3,0),""))</f>
        <v/>
      </c>
    </row>
    <row r="91">
      <c r="A91" s="10">
        <f>IF(B91="","",ROW()-5)</f>
        <v/>
      </c>
      <c r="B91" s="11" t="n"/>
      <c r="C91" s="11" t="n"/>
      <c r="D91" s="11" t="n"/>
      <c r="E91" s="12" t="n"/>
      <c r="F91" s="11" t="n"/>
      <c r="G91" s="11" t="n"/>
      <c r="H91" s="11" t="n"/>
      <c r="I91" s="11" t="n"/>
      <c r="J91" s="11">
        <f>IF(B91="","",IFERROR(RIGHT(B91,4)&amp;" T"&amp;ROUNDUP(VALUE(MID(B91,4,2))/3,0),""))</f>
        <v/>
      </c>
    </row>
    <row r="92">
      <c r="A92" s="10">
        <f>IF(B92="","",ROW()-5)</f>
        <v/>
      </c>
      <c r="B92" s="11" t="n"/>
      <c r="C92" s="11" t="n"/>
      <c r="D92" s="11" t="n"/>
      <c r="E92" s="12" t="n"/>
      <c r="F92" s="11" t="n"/>
      <c r="G92" s="11" t="n"/>
      <c r="H92" s="11" t="n"/>
      <c r="I92" s="11" t="n"/>
      <c r="J92" s="11">
        <f>IF(B92="","",IFERROR(RIGHT(B92,4)&amp;" T"&amp;ROUNDUP(VALUE(MID(B92,4,2))/3,0),""))</f>
        <v/>
      </c>
    </row>
    <row r="93">
      <c r="A93" s="10">
        <f>IF(B93="","",ROW()-5)</f>
        <v/>
      </c>
      <c r="B93" s="11" t="n"/>
      <c r="C93" s="11" t="n"/>
      <c r="D93" s="11" t="n"/>
      <c r="E93" s="12" t="n"/>
      <c r="F93" s="11" t="n"/>
      <c r="G93" s="11" t="n"/>
      <c r="H93" s="11" t="n"/>
      <c r="I93" s="11" t="n"/>
      <c r="J93" s="11">
        <f>IF(B93="","",IFERROR(RIGHT(B93,4)&amp;" T"&amp;ROUNDUP(VALUE(MID(B93,4,2))/3,0),""))</f>
        <v/>
      </c>
    </row>
    <row r="94">
      <c r="A94" s="10">
        <f>IF(B94="","",ROW()-5)</f>
        <v/>
      </c>
      <c r="B94" s="11" t="n"/>
      <c r="C94" s="11" t="n"/>
      <c r="D94" s="11" t="n"/>
      <c r="E94" s="12" t="n"/>
      <c r="F94" s="11" t="n"/>
      <c r="G94" s="11" t="n"/>
      <c r="H94" s="11" t="n"/>
      <c r="I94" s="11" t="n"/>
      <c r="J94" s="11">
        <f>IF(B94="","",IFERROR(RIGHT(B94,4)&amp;" T"&amp;ROUNDUP(VALUE(MID(B94,4,2))/3,0),""))</f>
        <v/>
      </c>
    </row>
    <row r="95">
      <c r="A95" s="10">
        <f>IF(B95="","",ROW()-5)</f>
        <v/>
      </c>
      <c r="B95" s="11" t="n"/>
      <c r="C95" s="11" t="n"/>
      <c r="D95" s="11" t="n"/>
      <c r="E95" s="12" t="n"/>
      <c r="F95" s="11" t="n"/>
      <c r="G95" s="11" t="n"/>
      <c r="H95" s="11" t="n"/>
      <c r="I95" s="11" t="n"/>
      <c r="J95" s="11">
        <f>IF(B95="","",IFERROR(RIGHT(B95,4)&amp;" T"&amp;ROUNDUP(VALUE(MID(B95,4,2))/3,0),""))</f>
        <v/>
      </c>
    </row>
    <row r="96">
      <c r="A96" s="10">
        <f>IF(B96="","",ROW()-5)</f>
        <v/>
      </c>
      <c r="B96" s="11" t="n"/>
      <c r="C96" s="11" t="n"/>
      <c r="D96" s="11" t="n"/>
      <c r="E96" s="12" t="n"/>
      <c r="F96" s="11" t="n"/>
      <c r="G96" s="11" t="n"/>
      <c r="H96" s="11" t="n"/>
      <c r="I96" s="11" t="n"/>
      <c r="J96" s="11">
        <f>IF(B96="","",IFERROR(RIGHT(B96,4)&amp;" T"&amp;ROUNDUP(VALUE(MID(B96,4,2))/3,0),""))</f>
        <v/>
      </c>
    </row>
    <row r="97">
      <c r="A97" s="10">
        <f>IF(B97="","",ROW()-5)</f>
        <v/>
      </c>
      <c r="B97" s="11" t="n"/>
      <c r="C97" s="11" t="n"/>
      <c r="D97" s="11" t="n"/>
      <c r="E97" s="12" t="n"/>
      <c r="F97" s="11" t="n"/>
      <c r="G97" s="11" t="n"/>
      <c r="H97" s="11" t="n"/>
      <c r="I97" s="11" t="n"/>
      <c r="J97" s="11">
        <f>IF(B97="","",IFERROR(RIGHT(B97,4)&amp;" T"&amp;ROUNDUP(VALUE(MID(B97,4,2))/3,0),""))</f>
        <v/>
      </c>
    </row>
    <row r="98">
      <c r="A98" s="10">
        <f>IF(B98="","",ROW()-5)</f>
        <v/>
      </c>
      <c r="B98" s="11" t="n"/>
      <c r="C98" s="11" t="n"/>
      <c r="D98" s="11" t="n"/>
      <c r="E98" s="12" t="n"/>
      <c r="F98" s="11" t="n"/>
      <c r="G98" s="11" t="n"/>
      <c r="H98" s="11" t="n"/>
      <c r="I98" s="11" t="n"/>
      <c r="J98" s="11">
        <f>IF(B98="","",IFERROR(RIGHT(B98,4)&amp;" T"&amp;ROUNDUP(VALUE(MID(B98,4,2))/3,0),""))</f>
        <v/>
      </c>
    </row>
    <row r="99">
      <c r="A99" s="10">
        <f>IF(B99="","",ROW()-5)</f>
        <v/>
      </c>
      <c r="B99" s="11" t="n"/>
      <c r="C99" s="11" t="n"/>
      <c r="D99" s="11" t="n"/>
      <c r="E99" s="12" t="n"/>
      <c r="F99" s="11" t="n"/>
      <c r="G99" s="11" t="n"/>
      <c r="H99" s="11" t="n"/>
      <c r="I99" s="11" t="n"/>
      <c r="J99" s="11">
        <f>IF(B99="","",IFERROR(RIGHT(B99,4)&amp;" T"&amp;ROUNDUP(VALUE(MID(B99,4,2))/3,0),""))</f>
        <v/>
      </c>
    </row>
    <row r="100">
      <c r="A100" s="10">
        <f>IF(B100="","",ROW()-5)</f>
        <v/>
      </c>
      <c r="B100" s="11" t="n"/>
      <c r="C100" s="11" t="n"/>
      <c r="D100" s="11" t="n"/>
      <c r="E100" s="12" t="n"/>
      <c r="F100" s="11" t="n"/>
      <c r="G100" s="11" t="n"/>
      <c r="H100" s="11" t="n"/>
      <c r="I100" s="11" t="n"/>
      <c r="J100" s="11">
        <f>IF(B100="","",IFERROR(RIGHT(B100,4)&amp;" T"&amp;ROUNDUP(VALUE(MID(B100,4,2))/3,0),""))</f>
        <v/>
      </c>
    </row>
    <row r="101">
      <c r="A101" s="10">
        <f>IF(B101="","",ROW()-5)</f>
        <v/>
      </c>
      <c r="B101" s="11" t="n"/>
      <c r="C101" s="11" t="n"/>
      <c r="D101" s="11" t="n"/>
      <c r="E101" s="12" t="n"/>
      <c r="F101" s="11" t="n"/>
      <c r="G101" s="11" t="n"/>
      <c r="H101" s="11" t="n"/>
      <c r="I101" s="11" t="n"/>
      <c r="J101" s="11">
        <f>IF(B101="","",IFERROR(RIGHT(B101,4)&amp;" T"&amp;ROUNDUP(VALUE(MID(B101,4,2))/3,0),""))</f>
        <v/>
      </c>
    </row>
    <row r="102">
      <c r="A102" s="10">
        <f>IF(B102="","",ROW()-5)</f>
        <v/>
      </c>
      <c r="B102" s="11" t="n"/>
      <c r="C102" s="11" t="n"/>
      <c r="D102" s="11" t="n"/>
      <c r="E102" s="12" t="n"/>
      <c r="F102" s="11" t="n"/>
      <c r="G102" s="11" t="n"/>
      <c r="H102" s="11" t="n"/>
      <c r="I102" s="11" t="n"/>
      <c r="J102" s="11">
        <f>IF(B102="","",IFERROR(RIGHT(B102,4)&amp;" T"&amp;ROUNDUP(VALUE(MID(B102,4,2))/3,0),""))</f>
        <v/>
      </c>
    </row>
    <row r="103">
      <c r="A103" s="10">
        <f>IF(B103="","",ROW()-5)</f>
        <v/>
      </c>
      <c r="B103" s="11" t="n"/>
      <c r="C103" s="11" t="n"/>
      <c r="D103" s="11" t="n"/>
      <c r="E103" s="12" t="n"/>
      <c r="F103" s="11" t="n"/>
      <c r="G103" s="11" t="n"/>
      <c r="H103" s="11" t="n"/>
      <c r="I103" s="11" t="n"/>
      <c r="J103" s="11">
        <f>IF(B103="","",IFERROR(RIGHT(B103,4)&amp;" T"&amp;ROUNDUP(VALUE(MID(B103,4,2))/3,0),""))</f>
        <v/>
      </c>
    </row>
    <row r="104">
      <c r="A104" s="10">
        <f>IF(B104="","",ROW()-5)</f>
        <v/>
      </c>
      <c r="B104" s="11" t="n"/>
      <c r="C104" s="11" t="n"/>
      <c r="D104" s="11" t="n"/>
      <c r="E104" s="12" t="n"/>
      <c r="F104" s="11" t="n"/>
      <c r="G104" s="11" t="n"/>
      <c r="H104" s="11" t="n"/>
      <c r="I104" s="11" t="n"/>
      <c r="J104" s="11">
        <f>IF(B104="","",IFERROR(RIGHT(B104,4)&amp;" T"&amp;ROUNDUP(VALUE(MID(B104,4,2))/3,0),""))</f>
        <v/>
      </c>
    </row>
    <row r="105">
      <c r="A105" s="10">
        <f>IF(B105="","",ROW()-5)</f>
        <v/>
      </c>
      <c r="B105" s="11" t="n"/>
      <c r="C105" s="11" t="n"/>
      <c r="D105" s="11" t="n"/>
      <c r="E105" s="12" t="n"/>
      <c r="F105" s="11" t="n"/>
      <c r="G105" s="11" t="n"/>
      <c r="H105" s="11" t="n"/>
      <c r="I105" s="11" t="n"/>
      <c r="J105" s="11">
        <f>IF(B105="","",IFERROR(RIGHT(B105,4)&amp;" T"&amp;ROUNDUP(VALUE(MID(B105,4,2))/3,0),""))</f>
        <v/>
      </c>
    </row>
    <row r="106">
      <c r="A106" s="10">
        <f>IF(B106="","",ROW()-5)</f>
        <v/>
      </c>
      <c r="B106" s="11" t="n"/>
      <c r="C106" s="11" t="n"/>
      <c r="D106" s="11" t="n"/>
      <c r="E106" s="12" t="n"/>
      <c r="F106" s="11" t="n"/>
      <c r="G106" s="11" t="n"/>
      <c r="H106" s="11" t="n"/>
      <c r="I106" s="11" t="n"/>
      <c r="J106" s="11">
        <f>IF(B106="","",IFERROR(RIGHT(B106,4)&amp;" T"&amp;ROUNDUP(VALUE(MID(B106,4,2))/3,0),""))</f>
        <v/>
      </c>
    </row>
    <row r="107">
      <c r="A107" s="10">
        <f>IF(B107="","",ROW()-5)</f>
        <v/>
      </c>
      <c r="B107" s="11" t="n"/>
      <c r="C107" s="11" t="n"/>
      <c r="D107" s="11" t="n"/>
      <c r="E107" s="12" t="n"/>
      <c r="F107" s="11" t="n"/>
      <c r="G107" s="11" t="n"/>
      <c r="H107" s="11" t="n"/>
      <c r="I107" s="11" t="n"/>
      <c r="J107" s="11">
        <f>IF(B107="","",IFERROR(RIGHT(B107,4)&amp;" T"&amp;ROUNDUP(VALUE(MID(B107,4,2))/3,0),""))</f>
        <v/>
      </c>
    </row>
    <row r="108">
      <c r="A108" s="10">
        <f>IF(B108="","",ROW()-5)</f>
        <v/>
      </c>
      <c r="B108" s="11" t="n"/>
      <c r="C108" s="11" t="n"/>
      <c r="D108" s="11" t="n"/>
      <c r="E108" s="12" t="n"/>
      <c r="F108" s="11" t="n"/>
      <c r="G108" s="11" t="n"/>
      <c r="H108" s="11" t="n"/>
      <c r="I108" s="11" t="n"/>
      <c r="J108" s="11">
        <f>IF(B108="","",IFERROR(RIGHT(B108,4)&amp;" T"&amp;ROUNDUP(VALUE(MID(B108,4,2))/3,0),""))</f>
        <v/>
      </c>
    </row>
    <row r="109">
      <c r="A109" s="10">
        <f>IF(B109="","",ROW()-5)</f>
        <v/>
      </c>
      <c r="B109" s="11" t="n"/>
      <c r="C109" s="11" t="n"/>
      <c r="D109" s="11" t="n"/>
      <c r="E109" s="12" t="n"/>
      <c r="F109" s="11" t="n"/>
      <c r="G109" s="11" t="n"/>
      <c r="H109" s="11" t="n"/>
      <c r="I109" s="11" t="n"/>
      <c r="J109" s="11">
        <f>IF(B109="","",IFERROR(RIGHT(B109,4)&amp;" T"&amp;ROUNDUP(VALUE(MID(B109,4,2))/3,0),""))</f>
        <v/>
      </c>
    </row>
    <row r="110">
      <c r="A110" s="10">
        <f>IF(B110="","",ROW()-5)</f>
        <v/>
      </c>
      <c r="B110" s="11" t="n"/>
      <c r="C110" s="11" t="n"/>
      <c r="D110" s="11" t="n"/>
      <c r="E110" s="12" t="n"/>
      <c r="F110" s="11" t="n"/>
      <c r="G110" s="11" t="n"/>
      <c r="H110" s="11" t="n"/>
      <c r="I110" s="11" t="n"/>
      <c r="J110" s="11">
        <f>IF(B110="","",IFERROR(RIGHT(B110,4)&amp;" T"&amp;ROUNDUP(VALUE(MID(B110,4,2))/3,0),""))</f>
        <v/>
      </c>
    </row>
    <row r="111">
      <c r="A111" s="10">
        <f>IF(B111="","",ROW()-5)</f>
        <v/>
      </c>
      <c r="B111" s="11" t="n"/>
      <c r="C111" s="11" t="n"/>
      <c r="D111" s="11" t="n"/>
      <c r="E111" s="12" t="n"/>
      <c r="F111" s="11" t="n"/>
      <c r="G111" s="11" t="n"/>
      <c r="H111" s="11" t="n"/>
      <c r="I111" s="11" t="n"/>
      <c r="J111" s="11">
        <f>IF(B111="","",IFERROR(RIGHT(B111,4)&amp;" T"&amp;ROUNDUP(VALUE(MID(B111,4,2))/3,0),""))</f>
        <v/>
      </c>
    </row>
    <row r="112">
      <c r="A112" s="10">
        <f>IF(B112="","",ROW()-5)</f>
        <v/>
      </c>
      <c r="B112" s="11" t="n"/>
      <c r="C112" s="11" t="n"/>
      <c r="D112" s="11" t="n"/>
      <c r="E112" s="12" t="n"/>
      <c r="F112" s="11" t="n"/>
      <c r="G112" s="11" t="n"/>
      <c r="H112" s="11" t="n"/>
      <c r="I112" s="11" t="n"/>
      <c r="J112" s="11">
        <f>IF(B112="","",IFERROR(RIGHT(B112,4)&amp;" T"&amp;ROUNDUP(VALUE(MID(B112,4,2))/3,0),""))</f>
        <v/>
      </c>
    </row>
    <row r="113">
      <c r="A113" s="10">
        <f>IF(B113="","",ROW()-5)</f>
        <v/>
      </c>
      <c r="B113" s="11" t="n"/>
      <c r="C113" s="11" t="n"/>
      <c r="D113" s="11" t="n"/>
      <c r="E113" s="12" t="n"/>
      <c r="F113" s="11" t="n"/>
      <c r="G113" s="11" t="n"/>
      <c r="H113" s="11" t="n"/>
      <c r="I113" s="11" t="n"/>
      <c r="J113" s="11">
        <f>IF(B113="","",IFERROR(RIGHT(B113,4)&amp;" T"&amp;ROUNDUP(VALUE(MID(B113,4,2))/3,0),""))</f>
        <v/>
      </c>
    </row>
    <row r="114">
      <c r="A114" s="10">
        <f>IF(B114="","",ROW()-5)</f>
        <v/>
      </c>
      <c r="B114" s="11" t="n"/>
      <c r="C114" s="11" t="n"/>
      <c r="D114" s="11" t="n"/>
      <c r="E114" s="12" t="n"/>
      <c r="F114" s="11" t="n"/>
      <c r="G114" s="11" t="n"/>
      <c r="H114" s="11" t="n"/>
      <c r="I114" s="11" t="n"/>
      <c r="J114" s="11">
        <f>IF(B114="","",IFERROR(RIGHT(B114,4)&amp;" T"&amp;ROUNDUP(VALUE(MID(B114,4,2))/3,0),""))</f>
        <v/>
      </c>
    </row>
    <row r="115">
      <c r="A115" s="10">
        <f>IF(B115="","",ROW()-5)</f>
        <v/>
      </c>
      <c r="B115" s="11" t="n"/>
      <c r="C115" s="11" t="n"/>
      <c r="D115" s="11" t="n"/>
      <c r="E115" s="12" t="n"/>
      <c r="F115" s="11" t="n"/>
      <c r="G115" s="11" t="n"/>
      <c r="H115" s="11" t="n"/>
      <c r="I115" s="11" t="n"/>
      <c r="J115" s="11">
        <f>IF(B115="","",IFERROR(RIGHT(B115,4)&amp;" T"&amp;ROUNDUP(VALUE(MID(B115,4,2))/3,0),""))</f>
        <v/>
      </c>
    </row>
    <row r="116">
      <c r="A116" s="10">
        <f>IF(B116="","",ROW()-5)</f>
        <v/>
      </c>
      <c r="B116" s="11" t="n"/>
      <c r="C116" s="11" t="n"/>
      <c r="D116" s="11" t="n"/>
      <c r="E116" s="12" t="n"/>
      <c r="F116" s="11" t="n"/>
      <c r="G116" s="11" t="n"/>
      <c r="H116" s="11" t="n"/>
      <c r="I116" s="11" t="n"/>
      <c r="J116" s="11">
        <f>IF(B116="","",IFERROR(RIGHT(B116,4)&amp;" T"&amp;ROUNDUP(VALUE(MID(B116,4,2))/3,0),""))</f>
        <v/>
      </c>
    </row>
    <row r="117">
      <c r="A117" s="10">
        <f>IF(B117="","",ROW()-5)</f>
        <v/>
      </c>
      <c r="B117" s="11" t="n"/>
      <c r="C117" s="11" t="n"/>
      <c r="D117" s="11" t="n"/>
      <c r="E117" s="12" t="n"/>
      <c r="F117" s="11" t="n"/>
      <c r="G117" s="11" t="n"/>
      <c r="H117" s="11" t="n"/>
      <c r="I117" s="11" t="n"/>
      <c r="J117" s="11">
        <f>IF(B117="","",IFERROR(RIGHT(B117,4)&amp;" T"&amp;ROUNDUP(VALUE(MID(B117,4,2))/3,0),""))</f>
        <v/>
      </c>
    </row>
    <row r="118">
      <c r="A118" s="10">
        <f>IF(B118="","",ROW()-5)</f>
        <v/>
      </c>
      <c r="B118" s="11" t="n"/>
      <c r="C118" s="11" t="n"/>
      <c r="D118" s="11" t="n"/>
      <c r="E118" s="12" t="n"/>
      <c r="F118" s="11" t="n"/>
      <c r="G118" s="11" t="n"/>
      <c r="H118" s="11" t="n"/>
      <c r="I118" s="11" t="n"/>
      <c r="J118" s="11">
        <f>IF(B118="","",IFERROR(RIGHT(B118,4)&amp;" T"&amp;ROUNDUP(VALUE(MID(B118,4,2))/3,0),""))</f>
        <v/>
      </c>
    </row>
    <row r="119">
      <c r="A119" s="10">
        <f>IF(B119="","",ROW()-5)</f>
        <v/>
      </c>
      <c r="B119" s="11" t="n"/>
      <c r="C119" s="11" t="n"/>
      <c r="D119" s="11" t="n"/>
      <c r="E119" s="12" t="n"/>
      <c r="F119" s="11" t="n"/>
      <c r="G119" s="11" t="n"/>
      <c r="H119" s="11" t="n"/>
      <c r="I119" s="11" t="n"/>
      <c r="J119" s="11">
        <f>IF(B119="","",IFERROR(RIGHT(B119,4)&amp;" T"&amp;ROUNDUP(VALUE(MID(B119,4,2))/3,0),""))</f>
        <v/>
      </c>
    </row>
    <row r="120">
      <c r="A120" s="10">
        <f>IF(B120="","",ROW()-5)</f>
        <v/>
      </c>
      <c r="B120" s="11" t="n"/>
      <c r="C120" s="11" t="n"/>
      <c r="D120" s="11" t="n"/>
      <c r="E120" s="12" t="n"/>
      <c r="F120" s="11" t="n"/>
      <c r="G120" s="11" t="n"/>
      <c r="H120" s="11" t="n"/>
      <c r="I120" s="11" t="n"/>
      <c r="J120" s="11">
        <f>IF(B120="","",IFERROR(RIGHT(B120,4)&amp;" T"&amp;ROUNDUP(VALUE(MID(B120,4,2))/3,0),""))</f>
        <v/>
      </c>
    </row>
    <row r="121">
      <c r="A121" s="10">
        <f>IF(B121="","",ROW()-5)</f>
        <v/>
      </c>
      <c r="B121" s="11" t="n"/>
      <c r="C121" s="11" t="n"/>
      <c r="D121" s="11" t="n"/>
      <c r="E121" s="12" t="n"/>
      <c r="F121" s="11" t="n"/>
      <c r="G121" s="11" t="n"/>
      <c r="H121" s="11" t="n"/>
      <c r="I121" s="11" t="n"/>
      <c r="J121" s="11">
        <f>IF(B121="","",IFERROR(RIGHT(B121,4)&amp;" T"&amp;ROUNDUP(VALUE(MID(B121,4,2))/3,0),""))</f>
        <v/>
      </c>
    </row>
    <row r="122">
      <c r="A122" s="10">
        <f>IF(B122="","",ROW()-5)</f>
        <v/>
      </c>
      <c r="B122" s="11" t="n"/>
      <c r="C122" s="11" t="n"/>
      <c r="D122" s="11" t="n"/>
      <c r="E122" s="12" t="n"/>
      <c r="F122" s="11" t="n"/>
      <c r="G122" s="11" t="n"/>
      <c r="H122" s="11" t="n"/>
      <c r="I122" s="11" t="n"/>
      <c r="J122" s="11">
        <f>IF(B122="","",IFERROR(RIGHT(B122,4)&amp;" T"&amp;ROUNDUP(VALUE(MID(B122,4,2))/3,0),""))</f>
        <v/>
      </c>
    </row>
    <row r="123">
      <c r="A123" s="10">
        <f>IF(B123="","",ROW()-5)</f>
        <v/>
      </c>
      <c r="B123" s="11" t="n"/>
      <c r="C123" s="11" t="n"/>
      <c r="D123" s="11" t="n"/>
      <c r="E123" s="12" t="n"/>
      <c r="F123" s="11" t="n"/>
      <c r="G123" s="11" t="n"/>
      <c r="H123" s="11" t="n"/>
      <c r="I123" s="11" t="n"/>
      <c r="J123" s="11">
        <f>IF(B123="","",IFERROR(RIGHT(B123,4)&amp;" T"&amp;ROUNDUP(VALUE(MID(B123,4,2))/3,0),""))</f>
        <v/>
      </c>
    </row>
    <row r="124">
      <c r="A124" s="10">
        <f>IF(B124="","",ROW()-5)</f>
        <v/>
      </c>
      <c r="B124" s="11" t="n"/>
      <c r="C124" s="11" t="n"/>
      <c r="D124" s="11" t="n"/>
      <c r="E124" s="12" t="n"/>
      <c r="F124" s="11" t="n"/>
      <c r="G124" s="11" t="n"/>
      <c r="H124" s="11" t="n"/>
      <c r="I124" s="11" t="n"/>
      <c r="J124" s="11">
        <f>IF(B124="","",IFERROR(RIGHT(B124,4)&amp;" T"&amp;ROUNDUP(VALUE(MID(B124,4,2))/3,0),""))</f>
        <v/>
      </c>
    </row>
    <row r="125">
      <c r="A125" s="10">
        <f>IF(B125="","",ROW()-5)</f>
        <v/>
      </c>
      <c r="B125" s="11" t="n"/>
      <c r="C125" s="11" t="n"/>
      <c r="D125" s="11" t="n"/>
      <c r="E125" s="12" t="n"/>
      <c r="F125" s="11" t="n"/>
      <c r="G125" s="11" t="n"/>
      <c r="H125" s="11" t="n"/>
      <c r="I125" s="11" t="n"/>
      <c r="J125" s="11">
        <f>IF(B125="","",IFERROR(RIGHT(B125,4)&amp;" T"&amp;ROUNDUP(VALUE(MID(B125,4,2))/3,0),""))</f>
        <v/>
      </c>
    </row>
    <row r="126">
      <c r="A126" s="10">
        <f>IF(B126="","",ROW()-5)</f>
        <v/>
      </c>
      <c r="B126" s="11" t="n"/>
      <c r="C126" s="11" t="n"/>
      <c r="D126" s="11" t="n"/>
      <c r="E126" s="12" t="n"/>
      <c r="F126" s="11" t="n"/>
      <c r="G126" s="11" t="n"/>
      <c r="H126" s="11" t="n"/>
      <c r="I126" s="11" t="n"/>
      <c r="J126" s="11">
        <f>IF(B126="","",IFERROR(RIGHT(B126,4)&amp;" T"&amp;ROUNDUP(VALUE(MID(B126,4,2))/3,0),""))</f>
        <v/>
      </c>
    </row>
    <row r="127">
      <c r="A127" s="10">
        <f>IF(B127="","",ROW()-5)</f>
        <v/>
      </c>
      <c r="B127" s="11" t="n"/>
      <c r="C127" s="11" t="n"/>
      <c r="D127" s="11" t="n"/>
      <c r="E127" s="12" t="n"/>
      <c r="F127" s="11" t="n"/>
      <c r="G127" s="11" t="n"/>
      <c r="H127" s="11" t="n"/>
      <c r="I127" s="11" t="n"/>
      <c r="J127" s="11">
        <f>IF(B127="","",IFERROR(RIGHT(B127,4)&amp;" T"&amp;ROUNDUP(VALUE(MID(B127,4,2))/3,0),""))</f>
        <v/>
      </c>
    </row>
    <row r="128">
      <c r="A128" s="10">
        <f>IF(B128="","",ROW()-5)</f>
        <v/>
      </c>
      <c r="B128" s="11" t="n"/>
      <c r="C128" s="11" t="n"/>
      <c r="D128" s="11" t="n"/>
      <c r="E128" s="12" t="n"/>
      <c r="F128" s="11" t="n"/>
      <c r="G128" s="11" t="n"/>
      <c r="H128" s="11" t="n"/>
      <c r="I128" s="11" t="n"/>
      <c r="J128" s="11">
        <f>IF(B128="","",IFERROR(RIGHT(B128,4)&amp;" T"&amp;ROUNDUP(VALUE(MID(B128,4,2))/3,0),""))</f>
        <v/>
      </c>
    </row>
    <row r="129">
      <c r="A129" s="10">
        <f>IF(B129="","",ROW()-5)</f>
        <v/>
      </c>
      <c r="B129" s="11" t="n"/>
      <c r="C129" s="11" t="n"/>
      <c r="D129" s="11" t="n"/>
      <c r="E129" s="12" t="n"/>
      <c r="F129" s="11" t="n"/>
      <c r="G129" s="11" t="n"/>
      <c r="H129" s="11" t="n"/>
      <c r="I129" s="11" t="n"/>
      <c r="J129" s="11">
        <f>IF(B129="","",IFERROR(RIGHT(B129,4)&amp;" T"&amp;ROUNDUP(VALUE(MID(B129,4,2))/3,0),""))</f>
        <v/>
      </c>
    </row>
    <row r="130">
      <c r="A130" s="10">
        <f>IF(B130="","",ROW()-5)</f>
        <v/>
      </c>
      <c r="B130" s="11" t="n"/>
      <c r="C130" s="11" t="n"/>
      <c r="D130" s="11" t="n"/>
      <c r="E130" s="12" t="n"/>
      <c r="F130" s="11" t="n"/>
      <c r="G130" s="11" t="n"/>
      <c r="H130" s="11" t="n"/>
      <c r="I130" s="11" t="n"/>
      <c r="J130" s="11">
        <f>IF(B130="","",IFERROR(RIGHT(B130,4)&amp;" T"&amp;ROUNDUP(VALUE(MID(B130,4,2))/3,0),""))</f>
        <v/>
      </c>
    </row>
    <row r="131">
      <c r="A131" s="10">
        <f>IF(B131="","",ROW()-5)</f>
        <v/>
      </c>
      <c r="B131" s="11" t="n"/>
      <c r="C131" s="11" t="n"/>
      <c r="D131" s="11" t="n"/>
      <c r="E131" s="12" t="n"/>
      <c r="F131" s="11" t="n"/>
      <c r="G131" s="11" t="n"/>
      <c r="H131" s="11" t="n"/>
      <c r="I131" s="11" t="n"/>
      <c r="J131" s="11">
        <f>IF(B131="","",IFERROR(RIGHT(B131,4)&amp;" T"&amp;ROUNDUP(VALUE(MID(B131,4,2))/3,0),""))</f>
        <v/>
      </c>
    </row>
    <row r="132">
      <c r="A132" s="10">
        <f>IF(B132="","",ROW()-5)</f>
        <v/>
      </c>
      <c r="B132" s="11" t="n"/>
      <c r="C132" s="11" t="n"/>
      <c r="D132" s="11" t="n"/>
      <c r="E132" s="12" t="n"/>
      <c r="F132" s="11" t="n"/>
      <c r="G132" s="11" t="n"/>
      <c r="H132" s="11" t="n"/>
      <c r="I132" s="11" t="n"/>
      <c r="J132" s="11">
        <f>IF(B132="","",IFERROR(RIGHT(B132,4)&amp;" T"&amp;ROUNDUP(VALUE(MID(B132,4,2))/3,0),""))</f>
        <v/>
      </c>
    </row>
    <row r="133">
      <c r="A133" s="10">
        <f>IF(B133="","",ROW()-5)</f>
        <v/>
      </c>
      <c r="B133" s="11" t="n"/>
      <c r="C133" s="11" t="n"/>
      <c r="D133" s="11" t="n"/>
      <c r="E133" s="12" t="n"/>
      <c r="F133" s="11" t="n"/>
      <c r="G133" s="11" t="n"/>
      <c r="H133" s="11" t="n"/>
      <c r="I133" s="11" t="n"/>
      <c r="J133" s="11">
        <f>IF(B133="","",IFERROR(RIGHT(B133,4)&amp;" T"&amp;ROUNDUP(VALUE(MID(B133,4,2))/3,0),""))</f>
        <v/>
      </c>
    </row>
    <row r="134">
      <c r="A134" s="10">
        <f>IF(B134="","",ROW()-5)</f>
        <v/>
      </c>
      <c r="B134" s="11" t="n"/>
      <c r="C134" s="11" t="n"/>
      <c r="D134" s="11" t="n"/>
      <c r="E134" s="12" t="n"/>
      <c r="F134" s="11" t="n"/>
      <c r="G134" s="11" t="n"/>
      <c r="H134" s="11" t="n"/>
      <c r="I134" s="11" t="n"/>
      <c r="J134" s="11">
        <f>IF(B134="","",IFERROR(RIGHT(B134,4)&amp;" T"&amp;ROUNDUP(VALUE(MID(B134,4,2))/3,0),""))</f>
        <v/>
      </c>
    </row>
    <row r="135">
      <c r="A135" s="10">
        <f>IF(B135="","",ROW()-5)</f>
        <v/>
      </c>
      <c r="B135" s="11" t="n"/>
      <c r="C135" s="11" t="n"/>
      <c r="D135" s="11" t="n"/>
      <c r="E135" s="12" t="n"/>
      <c r="F135" s="11" t="n"/>
      <c r="G135" s="11" t="n"/>
      <c r="H135" s="11" t="n"/>
      <c r="I135" s="11" t="n"/>
      <c r="J135" s="11">
        <f>IF(B135="","",IFERROR(RIGHT(B135,4)&amp;" T"&amp;ROUNDUP(VALUE(MID(B135,4,2))/3,0),""))</f>
        <v/>
      </c>
    </row>
    <row r="136">
      <c r="A136" s="10">
        <f>IF(B136="","",ROW()-5)</f>
        <v/>
      </c>
      <c r="B136" s="11" t="n"/>
      <c r="C136" s="11" t="n"/>
      <c r="D136" s="11" t="n"/>
      <c r="E136" s="12" t="n"/>
      <c r="F136" s="11" t="n"/>
      <c r="G136" s="11" t="n"/>
      <c r="H136" s="11" t="n"/>
      <c r="I136" s="11" t="n"/>
      <c r="J136" s="11">
        <f>IF(B136="","",IFERROR(RIGHT(B136,4)&amp;" T"&amp;ROUNDUP(VALUE(MID(B136,4,2))/3,0),""))</f>
        <v/>
      </c>
    </row>
    <row r="137">
      <c r="A137" s="10">
        <f>IF(B137="","",ROW()-5)</f>
        <v/>
      </c>
      <c r="B137" s="11" t="n"/>
      <c r="C137" s="11" t="n"/>
      <c r="D137" s="11" t="n"/>
      <c r="E137" s="12" t="n"/>
      <c r="F137" s="11" t="n"/>
      <c r="G137" s="11" t="n"/>
      <c r="H137" s="11" t="n"/>
      <c r="I137" s="11" t="n"/>
      <c r="J137" s="11">
        <f>IF(B137="","",IFERROR(RIGHT(B137,4)&amp;" T"&amp;ROUNDUP(VALUE(MID(B137,4,2))/3,0),""))</f>
        <v/>
      </c>
    </row>
    <row r="138">
      <c r="A138" s="10">
        <f>IF(B138="","",ROW()-5)</f>
        <v/>
      </c>
      <c r="B138" s="11" t="n"/>
      <c r="C138" s="11" t="n"/>
      <c r="D138" s="11" t="n"/>
      <c r="E138" s="12" t="n"/>
      <c r="F138" s="11" t="n"/>
      <c r="G138" s="11" t="n"/>
      <c r="H138" s="11" t="n"/>
      <c r="I138" s="11" t="n"/>
      <c r="J138" s="11">
        <f>IF(B138="","",IFERROR(RIGHT(B138,4)&amp;" T"&amp;ROUNDUP(VALUE(MID(B138,4,2))/3,0),""))</f>
        <v/>
      </c>
    </row>
    <row r="139">
      <c r="A139" s="10">
        <f>IF(B139="","",ROW()-5)</f>
        <v/>
      </c>
      <c r="B139" s="11" t="n"/>
      <c r="C139" s="11" t="n"/>
      <c r="D139" s="11" t="n"/>
      <c r="E139" s="12" t="n"/>
      <c r="F139" s="11" t="n"/>
      <c r="G139" s="11" t="n"/>
      <c r="H139" s="11" t="n"/>
      <c r="I139" s="11" t="n"/>
      <c r="J139" s="11">
        <f>IF(B139="","",IFERROR(RIGHT(B139,4)&amp;" T"&amp;ROUNDUP(VALUE(MID(B139,4,2))/3,0),""))</f>
        <v/>
      </c>
    </row>
    <row r="140">
      <c r="A140" s="10">
        <f>IF(B140="","",ROW()-5)</f>
        <v/>
      </c>
      <c r="B140" s="11" t="n"/>
      <c r="C140" s="11" t="n"/>
      <c r="D140" s="11" t="n"/>
      <c r="E140" s="12" t="n"/>
      <c r="F140" s="11" t="n"/>
      <c r="G140" s="11" t="n"/>
      <c r="H140" s="11" t="n"/>
      <c r="I140" s="11" t="n"/>
      <c r="J140" s="11">
        <f>IF(B140="","",IFERROR(RIGHT(B140,4)&amp;" T"&amp;ROUNDUP(VALUE(MID(B140,4,2))/3,0),""))</f>
        <v/>
      </c>
    </row>
    <row r="141">
      <c r="A141" s="10">
        <f>IF(B141="","",ROW()-5)</f>
        <v/>
      </c>
      <c r="B141" s="11" t="n"/>
      <c r="C141" s="11" t="n"/>
      <c r="D141" s="11" t="n"/>
      <c r="E141" s="12" t="n"/>
      <c r="F141" s="11" t="n"/>
      <c r="G141" s="11" t="n"/>
      <c r="H141" s="11" t="n"/>
      <c r="I141" s="11" t="n"/>
      <c r="J141" s="11">
        <f>IF(B141="","",IFERROR(RIGHT(B141,4)&amp;" T"&amp;ROUNDUP(VALUE(MID(B141,4,2))/3,0),""))</f>
        <v/>
      </c>
    </row>
    <row r="142">
      <c r="A142" s="10">
        <f>IF(B142="","",ROW()-5)</f>
        <v/>
      </c>
      <c r="B142" s="11" t="n"/>
      <c r="C142" s="11" t="n"/>
      <c r="D142" s="11" t="n"/>
      <c r="E142" s="12" t="n"/>
      <c r="F142" s="11" t="n"/>
      <c r="G142" s="11" t="n"/>
      <c r="H142" s="11" t="n"/>
      <c r="I142" s="11" t="n"/>
      <c r="J142" s="11">
        <f>IF(B142="","",IFERROR(RIGHT(B142,4)&amp;" T"&amp;ROUNDUP(VALUE(MID(B142,4,2))/3,0),""))</f>
        <v/>
      </c>
    </row>
    <row r="143">
      <c r="A143" s="10">
        <f>IF(B143="","",ROW()-5)</f>
        <v/>
      </c>
      <c r="B143" s="11" t="n"/>
      <c r="C143" s="11" t="n"/>
      <c r="D143" s="11" t="n"/>
      <c r="E143" s="12" t="n"/>
      <c r="F143" s="11" t="n"/>
      <c r="G143" s="11" t="n"/>
      <c r="H143" s="11" t="n"/>
      <c r="I143" s="11" t="n"/>
      <c r="J143" s="11">
        <f>IF(B143="","",IFERROR(RIGHT(B143,4)&amp;" T"&amp;ROUNDUP(VALUE(MID(B143,4,2))/3,0),""))</f>
        <v/>
      </c>
    </row>
    <row r="144">
      <c r="A144" s="10">
        <f>IF(B144="","",ROW()-5)</f>
        <v/>
      </c>
      <c r="B144" s="11" t="n"/>
      <c r="C144" s="11" t="n"/>
      <c r="D144" s="11" t="n"/>
      <c r="E144" s="12" t="n"/>
      <c r="F144" s="11" t="n"/>
      <c r="G144" s="11" t="n"/>
      <c r="H144" s="11" t="n"/>
      <c r="I144" s="11" t="n"/>
      <c r="J144" s="11">
        <f>IF(B144="","",IFERROR(RIGHT(B144,4)&amp;" T"&amp;ROUNDUP(VALUE(MID(B144,4,2))/3,0),""))</f>
        <v/>
      </c>
    </row>
    <row r="145">
      <c r="A145" s="10">
        <f>IF(B145="","",ROW()-5)</f>
        <v/>
      </c>
      <c r="B145" s="11" t="n"/>
      <c r="C145" s="11" t="n"/>
      <c r="D145" s="11" t="n"/>
      <c r="E145" s="12" t="n"/>
      <c r="F145" s="11" t="n"/>
      <c r="G145" s="11" t="n"/>
      <c r="H145" s="11" t="n"/>
      <c r="I145" s="11" t="n"/>
      <c r="J145" s="11">
        <f>IF(B145="","",IFERROR(RIGHT(B145,4)&amp;" T"&amp;ROUNDUP(VALUE(MID(B145,4,2))/3,0),""))</f>
        <v/>
      </c>
    </row>
    <row r="146">
      <c r="A146" s="10">
        <f>IF(B146="","",ROW()-5)</f>
        <v/>
      </c>
      <c r="B146" s="11" t="n"/>
      <c r="C146" s="11" t="n"/>
      <c r="D146" s="11" t="n"/>
      <c r="E146" s="12" t="n"/>
      <c r="F146" s="11" t="n"/>
      <c r="G146" s="11" t="n"/>
      <c r="H146" s="11" t="n"/>
      <c r="I146" s="11" t="n"/>
      <c r="J146" s="11">
        <f>IF(B146="","",IFERROR(RIGHT(B146,4)&amp;" T"&amp;ROUNDUP(VALUE(MID(B146,4,2))/3,0),""))</f>
        <v/>
      </c>
    </row>
    <row r="147">
      <c r="A147" s="10">
        <f>IF(B147="","",ROW()-5)</f>
        <v/>
      </c>
      <c r="B147" s="11" t="n"/>
      <c r="C147" s="11" t="n"/>
      <c r="D147" s="11" t="n"/>
      <c r="E147" s="12" t="n"/>
      <c r="F147" s="11" t="n"/>
      <c r="G147" s="11" t="n"/>
      <c r="H147" s="11" t="n"/>
      <c r="I147" s="11" t="n"/>
      <c r="J147" s="11">
        <f>IF(B147="","",IFERROR(RIGHT(B147,4)&amp;" T"&amp;ROUNDUP(VALUE(MID(B147,4,2))/3,0),""))</f>
        <v/>
      </c>
    </row>
    <row r="148">
      <c r="A148" s="10">
        <f>IF(B148="","",ROW()-5)</f>
        <v/>
      </c>
      <c r="B148" s="11" t="n"/>
      <c r="C148" s="11" t="n"/>
      <c r="D148" s="11" t="n"/>
      <c r="E148" s="12" t="n"/>
      <c r="F148" s="11" t="n"/>
      <c r="G148" s="11" t="n"/>
      <c r="H148" s="11" t="n"/>
      <c r="I148" s="11" t="n"/>
      <c r="J148" s="11">
        <f>IF(B148="","",IFERROR(RIGHT(B148,4)&amp;" T"&amp;ROUNDUP(VALUE(MID(B148,4,2))/3,0),""))</f>
        <v/>
      </c>
    </row>
    <row r="149">
      <c r="A149" s="10">
        <f>IF(B149="","",ROW()-5)</f>
        <v/>
      </c>
      <c r="B149" s="11" t="n"/>
      <c r="C149" s="11" t="n"/>
      <c r="D149" s="11" t="n"/>
      <c r="E149" s="12" t="n"/>
      <c r="F149" s="11" t="n"/>
      <c r="G149" s="11" t="n"/>
      <c r="H149" s="11" t="n"/>
      <c r="I149" s="11" t="n"/>
      <c r="J149" s="11">
        <f>IF(B149="","",IFERROR(RIGHT(B149,4)&amp;" T"&amp;ROUNDUP(VALUE(MID(B149,4,2))/3,0),""))</f>
        <v/>
      </c>
    </row>
    <row r="150">
      <c r="A150" s="10">
        <f>IF(B150="","",ROW()-5)</f>
        <v/>
      </c>
      <c r="B150" s="11" t="n"/>
      <c r="C150" s="11" t="n"/>
      <c r="D150" s="11" t="n"/>
      <c r="E150" s="12" t="n"/>
      <c r="F150" s="11" t="n"/>
      <c r="G150" s="11" t="n"/>
      <c r="H150" s="11" t="n"/>
      <c r="I150" s="11" t="n"/>
      <c r="J150" s="11">
        <f>IF(B150="","",IFERROR(RIGHT(B150,4)&amp;" T"&amp;ROUNDUP(VALUE(MID(B150,4,2))/3,0),""))</f>
        <v/>
      </c>
    </row>
    <row r="151">
      <c r="A151" s="10">
        <f>IF(B151="","",ROW()-5)</f>
        <v/>
      </c>
      <c r="B151" s="11" t="n"/>
      <c r="C151" s="11" t="n"/>
      <c r="D151" s="11" t="n"/>
      <c r="E151" s="12" t="n"/>
      <c r="F151" s="11" t="n"/>
      <c r="G151" s="11" t="n"/>
      <c r="H151" s="11" t="n"/>
      <c r="I151" s="11" t="n"/>
      <c r="J151" s="11">
        <f>IF(B151="","",IFERROR(RIGHT(B151,4)&amp;" T"&amp;ROUNDUP(VALUE(MID(B151,4,2))/3,0),""))</f>
        <v/>
      </c>
    </row>
    <row r="152">
      <c r="A152" s="10">
        <f>IF(B152="","",ROW()-5)</f>
        <v/>
      </c>
      <c r="B152" s="11" t="n"/>
      <c r="C152" s="11" t="n"/>
      <c r="D152" s="11" t="n"/>
      <c r="E152" s="12" t="n"/>
      <c r="F152" s="11" t="n"/>
      <c r="G152" s="11" t="n"/>
      <c r="H152" s="11" t="n"/>
      <c r="I152" s="11" t="n"/>
      <c r="J152" s="11">
        <f>IF(B152="","",IFERROR(RIGHT(B152,4)&amp;" T"&amp;ROUNDUP(VALUE(MID(B152,4,2))/3,0),""))</f>
        <v/>
      </c>
    </row>
    <row r="153">
      <c r="A153" s="10">
        <f>IF(B153="","",ROW()-5)</f>
        <v/>
      </c>
      <c r="B153" s="11" t="n"/>
      <c r="C153" s="11" t="n"/>
      <c r="D153" s="11" t="n"/>
      <c r="E153" s="12" t="n"/>
      <c r="F153" s="11" t="n"/>
      <c r="G153" s="11" t="n"/>
      <c r="H153" s="11" t="n"/>
      <c r="I153" s="11" t="n"/>
      <c r="J153" s="11">
        <f>IF(B153="","",IFERROR(RIGHT(B153,4)&amp;" T"&amp;ROUNDUP(VALUE(MID(B153,4,2))/3,0),""))</f>
        <v/>
      </c>
    </row>
    <row r="154">
      <c r="A154" s="10">
        <f>IF(B154="","",ROW()-5)</f>
        <v/>
      </c>
      <c r="B154" s="11" t="n"/>
      <c r="C154" s="11" t="n"/>
      <c r="D154" s="11" t="n"/>
      <c r="E154" s="12" t="n"/>
      <c r="F154" s="11" t="n"/>
      <c r="G154" s="11" t="n"/>
      <c r="H154" s="11" t="n"/>
      <c r="I154" s="11" t="n"/>
      <c r="J154" s="11">
        <f>IF(B154="","",IFERROR(RIGHT(B154,4)&amp;" T"&amp;ROUNDUP(VALUE(MID(B154,4,2))/3,0),""))</f>
        <v/>
      </c>
    </row>
    <row r="155">
      <c r="A155" s="10">
        <f>IF(B155="","",ROW()-5)</f>
        <v/>
      </c>
      <c r="B155" s="11" t="n"/>
      <c r="C155" s="11" t="n"/>
      <c r="D155" s="11" t="n"/>
      <c r="E155" s="12" t="n"/>
      <c r="F155" s="11" t="n"/>
      <c r="G155" s="11" t="n"/>
      <c r="H155" s="11" t="n"/>
      <c r="I155" s="11" t="n"/>
      <c r="J155" s="11">
        <f>IF(B155="","",IFERROR(RIGHT(B155,4)&amp;" T"&amp;ROUNDUP(VALUE(MID(B155,4,2))/3,0),""))</f>
        <v/>
      </c>
    </row>
    <row r="156">
      <c r="A156" s="10">
        <f>IF(B156="","",ROW()-5)</f>
        <v/>
      </c>
      <c r="B156" s="11" t="n"/>
      <c r="C156" s="11" t="n"/>
      <c r="D156" s="11" t="n"/>
      <c r="E156" s="12" t="n"/>
      <c r="F156" s="11" t="n"/>
      <c r="G156" s="11" t="n"/>
      <c r="H156" s="11" t="n"/>
      <c r="I156" s="11" t="n"/>
      <c r="J156" s="11">
        <f>IF(B156="","",IFERROR(RIGHT(B156,4)&amp;" T"&amp;ROUNDUP(VALUE(MID(B156,4,2))/3,0),""))</f>
        <v/>
      </c>
    </row>
    <row r="157">
      <c r="A157" s="10">
        <f>IF(B157="","",ROW()-5)</f>
        <v/>
      </c>
      <c r="B157" s="11" t="n"/>
      <c r="C157" s="11" t="n"/>
      <c r="D157" s="11" t="n"/>
      <c r="E157" s="12" t="n"/>
      <c r="F157" s="11" t="n"/>
      <c r="G157" s="11" t="n"/>
      <c r="H157" s="11" t="n"/>
      <c r="I157" s="11" t="n"/>
      <c r="J157" s="11">
        <f>IF(B157="","",IFERROR(RIGHT(B157,4)&amp;" T"&amp;ROUNDUP(VALUE(MID(B157,4,2))/3,0),""))</f>
        <v/>
      </c>
    </row>
    <row r="158">
      <c r="A158" s="10">
        <f>IF(B158="","",ROW()-5)</f>
        <v/>
      </c>
      <c r="B158" s="11" t="n"/>
      <c r="C158" s="11" t="n"/>
      <c r="D158" s="11" t="n"/>
      <c r="E158" s="12" t="n"/>
      <c r="F158" s="11" t="n"/>
      <c r="G158" s="11" t="n"/>
      <c r="H158" s="11" t="n"/>
      <c r="I158" s="11" t="n"/>
      <c r="J158" s="11">
        <f>IF(B158="","",IFERROR(RIGHT(B158,4)&amp;" T"&amp;ROUNDUP(VALUE(MID(B158,4,2))/3,0),""))</f>
        <v/>
      </c>
    </row>
    <row r="159">
      <c r="A159" s="10">
        <f>IF(B159="","",ROW()-5)</f>
        <v/>
      </c>
      <c r="B159" s="11" t="n"/>
      <c r="C159" s="11" t="n"/>
      <c r="D159" s="11" t="n"/>
      <c r="E159" s="12" t="n"/>
      <c r="F159" s="11" t="n"/>
      <c r="G159" s="11" t="n"/>
      <c r="H159" s="11" t="n"/>
      <c r="I159" s="11" t="n"/>
      <c r="J159" s="11">
        <f>IF(B159="","",IFERROR(RIGHT(B159,4)&amp;" T"&amp;ROUNDUP(VALUE(MID(B159,4,2))/3,0),""))</f>
        <v/>
      </c>
    </row>
    <row r="160">
      <c r="A160" s="10">
        <f>IF(B160="","",ROW()-5)</f>
        <v/>
      </c>
      <c r="B160" s="11" t="n"/>
      <c r="C160" s="11" t="n"/>
      <c r="D160" s="11" t="n"/>
      <c r="E160" s="12" t="n"/>
      <c r="F160" s="11" t="n"/>
      <c r="G160" s="11" t="n"/>
      <c r="H160" s="11" t="n"/>
      <c r="I160" s="11" t="n"/>
      <c r="J160" s="11">
        <f>IF(B160="","",IFERROR(RIGHT(B160,4)&amp;" T"&amp;ROUNDUP(VALUE(MID(B160,4,2))/3,0),""))</f>
        <v/>
      </c>
    </row>
    <row r="161">
      <c r="A161" s="10">
        <f>IF(B161="","",ROW()-5)</f>
        <v/>
      </c>
      <c r="B161" s="11" t="n"/>
      <c r="C161" s="11" t="n"/>
      <c r="D161" s="11" t="n"/>
      <c r="E161" s="12" t="n"/>
      <c r="F161" s="11" t="n"/>
      <c r="G161" s="11" t="n"/>
      <c r="H161" s="11" t="n"/>
      <c r="I161" s="11" t="n"/>
      <c r="J161" s="11">
        <f>IF(B161="","",IFERROR(RIGHT(B161,4)&amp;" T"&amp;ROUNDUP(VALUE(MID(B161,4,2))/3,0),""))</f>
        <v/>
      </c>
    </row>
    <row r="162">
      <c r="A162" s="10">
        <f>IF(B162="","",ROW()-5)</f>
        <v/>
      </c>
      <c r="B162" s="11" t="n"/>
      <c r="C162" s="11" t="n"/>
      <c r="D162" s="11" t="n"/>
      <c r="E162" s="12" t="n"/>
      <c r="F162" s="11" t="n"/>
      <c r="G162" s="11" t="n"/>
      <c r="H162" s="11" t="n"/>
      <c r="I162" s="11" t="n"/>
      <c r="J162" s="11">
        <f>IF(B162="","",IFERROR(RIGHT(B162,4)&amp;" T"&amp;ROUNDUP(VALUE(MID(B162,4,2))/3,0),""))</f>
        <v/>
      </c>
    </row>
    <row r="163">
      <c r="A163" s="10">
        <f>IF(B163="","",ROW()-5)</f>
        <v/>
      </c>
      <c r="B163" s="11" t="n"/>
      <c r="C163" s="11" t="n"/>
      <c r="D163" s="11" t="n"/>
      <c r="E163" s="12" t="n"/>
      <c r="F163" s="11" t="n"/>
      <c r="G163" s="11" t="n"/>
      <c r="H163" s="11" t="n"/>
      <c r="I163" s="11" t="n"/>
      <c r="J163" s="11">
        <f>IF(B163="","",IFERROR(RIGHT(B163,4)&amp;" T"&amp;ROUNDUP(VALUE(MID(B163,4,2))/3,0),""))</f>
        <v/>
      </c>
    </row>
    <row r="164">
      <c r="A164" s="10">
        <f>IF(B164="","",ROW()-5)</f>
        <v/>
      </c>
      <c r="B164" s="11" t="n"/>
      <c r="C164" s="11" t="n"/>
      <c r="D164" s="11" t="n"/>
      <c r="E164" s="12" t="n"/>
      <c r="F164" s="11" t="n"/>
      <c r="G164" s="11" t="n"/>
      <c r="H164" s="11" t="n"/>
      <c r="I164" s="11" t="n"/>
      <c r="J164" s="11">
        <f>IF(B164="","",IFERROR(RIGHT(B164,4)&amp;" T"&amp;ROUNDUP(VALUE(MID(B164,4,2))/3,0),""))</f>
        <v/>
      </c>
    </row>
    <row r="165">
      <c r="A165" s="10">
        <f>IF(B165="","",ROW()-5)</f>
        <v/>
      </c>
      <c r="B165" s="11" t="n"/>
      <c r="C165" s="11" t="n"/>
      <c r="D165" s="11" t="n"/>
      <c r="E165" s="12" t="n"/>
      <c r="F165" s="11" t="n"/>
      <c r="G165" s="11" t="n"/>
      <c r="H165" s="11" t="n"/>
      <c r="I165" s="11" t="n"/>
      <c r="J165" s="11">
        <f>IF(B165="","",IFERROR(RIGHT(B165,4)&amp;" T"&amp;ROUNDUP(VALUE(MID(B165,4,2))/3,0),""))</f>
        <v/>
      </c>
    </row>
    <row r="166">
      <c r="A166" s="10">
        <f>IF(B166="","",ROW()-5)</f>
        <v/>
      </c>
      <c r="B166" s="11" t="n"/>
      <c r="C166" s="11" t="n"/>
      <c r="D166" s="11" t="n"/>
      <c r="E166" s="12" t="n"/>
      <c r="F166" s="11" t="n"/>
      <c r="G166" s="11" t="n"/>
      <c r="H166" s="11" t="n"/>
      <c r="I166" s="11" t="n"/>
      <c r="J166" s="11">
        <f>IF(B166="","",IFERROR(RIGHT(B166,4)&amp;" T"&amp;ROUNDUP(VALUE(MID(B166,4,2))/3,0),""))</f>
        <v/>
      </c>
    </row>
    <row r="167">
      <c r="A167" s="10">
        <f>IF(B167="","",ROW()-5)</f>
        <v/>
      </c>
      <c r="B167" s="11" t="n"/>
      <c r="C167" s="11" t="n"/>
      <c r="D167" s="11" t="n"/>
      <c r="E167" s="12" t="n"/>
      <c r="F167" s="11" t="n"/>
      <c r="G167" s="11" t="n"/>
      <c r="H167" s="11" t="n"/>
      <c r="I167" s="11" t="n"/>
      <c r="J167" s="11">
        <f>IF(B167="","",IFERROR(RIGHT(B167,4)&amp;" T"&amp;ROUNDUP(VALUE(MID(B167,4,2))/3,0),""))</f>
        <v/>
      </c>
    </row>
    <row r="168">
      <c r="A168" s="10">
        <f>IF(B168="","",ROW()-5)</f>
        <v/>
      </c>
      <c r="B168" s="11" t="n"/>
      <c r="C168" s="11" t="n"/>
      <c r="D168" s="11" t="n"/>
      <c r="E168" s="12" t="n"/>
      <c r="F168" s="11" t="n"/>
      <c r="G168" s="11" t="n"/>
      <c r="H168" s="11" t="n"/>
      <c r="I168" s="11" t="n"/>
      <c r="J168" s="11">
        <f>IF(B168="","",IFERROR(RIGHT(B168,4)&amp;" T"&amp;ROUNDUP(VALUE(MID(B168,4,2))/3,0),""))</f>
        <v/>
      </c>
    </row>
    <row r="169">
      <c r="A169" s="10">
        <f>IF(B169="","",ROW()-5)</f>
        <v/>
      </c>
      <c r="B169" s="11" t="n"/>
      <c r="C169" s="11" t="n"/>
      <c r="D169" s="11" t="n"/>
      <c r="E169" s="12" t="n"/>
      <c r="F169" s="11" t="n"/>
      <c r="G169" s="11" t="n"/>
      <c r="H169" s="11" t="n"/>
      <c r="I169" s="11" t="n"/>
      <c r="J169" s="11">
        <f>IF(B169="","",IFERROR(RIGHT(B169,4)&amp;" T"&amp;ROUNDUP(VALUE(MID(B169,4,2))/3,0),""))</f>
        <v/>
      </c>
    </row>
    <row r="170">
      <c r="A170" s="10">
        <f>IF(B170="","",ROW()-5)</f>
        <v/>
      </c>
      <c r="B170" s="11" t="n"/>
      <c r="C170" s="11" t="n"/>
      <c r="D170" s="11" t="n"/>
      <c r="E170" s="12" t="n"/>
      <c r="F170" s="11" t="n"/>
      <c r="G170" s="11" t="n"/>
      <c r="H170" s="11" t="n"/>
      <c r="I170" s="11" t="n"/>
      <c r="J170" s="11">
        <f>IF(B170="","",IFERROR(RIGHT(B170,4)&amp;" T"&amp;ROUNDUP(VALUE(MID(B170,4,2))/3,0),""))</f>
        <v/>
      </c>
    </row>
    <row r="171">
      <c r="A171" s="10">
        <f>IF(B171="","",ROW()-5)</f>
        <v/>
      </c>
      <c r="B171" s="11" t="n"/>
      <c r="C171" s="11" t="n"/>
      <c r="D171" s="11" t="n"/>
      <c r="E171" s="12" t="n"/>
      <c r="F171" s="11" t="n"/>
      <c r="G171" s="11" t="n"/>
      <c r="H171" s="11" t="n"/>
      <c r="I171" s="11" t="n"/>
      <c r="J171" s="11">
        <f>IF(B171="","",IFERROR(RIGHT(B171,4)&amp;" T"&amp;ROUNDUP(VALUE(MID(B171,4,2))/3,0),""))</f>
        <v/>
      </c>
    </row>
    <row r="172">
      <c r="A172" s="10">
        <f>IF(B172="","",ROW()-5)</f>
        <v/>
      </c>
      <c r="B172" s="11" t="n"/>
      <c r="C172" s="11" t="n"/>
      <c r="D172" s="11" t="n"/>
      <c r="E172" s="12" t="n"/>
      <c r="F172" s="11" t="n"/>
      <c r="G172" s="11" t="n"/>
      <c r="H172" s="11" t="n"/>
      <c r="I172" s="11" t="n"/>
      <c r="J172" s="11">
        <f>IF(B172="","",IFERROR(RIGHT(B172,4)&amp;" T"&amp;ROUNDUP(VALUE(MID(B172,4,2))/3,0),""))</f>
        <v/>
      </c>
    </row>
    <row r="173">
      <c r="A173" s="10">
        <f>IF(B173="","",ROW()-5)</f>
        <v/>
      </c>
      <c r="B173" s="11" t="n"/>
      <c r="C173" s="11" t="n"/>
      <c r="D173" s="11" t="n"/>
      <c r="E173" s="12" t="n"/>
      <c r="F173" s="11" t="n"/>
      <c r="G173" s="11" t="n"/>
      <c r="H173" s="11" t="n"/>
      <c r="I173" s="11" t="n"/>
      <c r="J173" s="11">
        <f>IF(B173="","",IFERROR(RIGHT(B173,4)&amp;" T"&amp;ROUNDUP(VALUE(MID(B173,4,2))/3,0),""))</f>
        <v/>
      </c>
    </row>
    <row r="174">
      <c r="A174" s="10">
        <f>IF(B174="","",ROW()-5)</f>
        <v/>
      </c>
      <c r="B174" s="11" t="n"/>
      <c r="C174" s="11" t="n"/>
      <c r="D174" s="11" t="n"/>
      <c r="E174" s="12" t="n"/>
      <c r="F174" s="11" t="n"/>
      <c r="G174" s="11" t="n"/>
      <c r="H174" s="11" t="n"/>
      <c r="I174" s="11" t="n"/>
      <c r="J174" s="11">
        <f>IF(B174="","",IFERROR(RIGHT(B174,4)&amp;" T"&amp;ROUNDUP(VALUE(MID(B174,4,2))/3,0),""))</f>
        <v/>
      </c>
    </row>
    <row r="175">
      <c r="A175" s="10">
        <f>IF(B175="","",ROW()-5)</f>
        <v/>
      </c>
      <c r="B175" s="11" t="n"/>
      <c r="C175" s="11" t="n"/>
      <c r="D175" s="11" t="n"/>
      <c r="E175" s="12" t="n"/>
      <c r="F175" s="11" t="n"/>
      <c r="G175" s="11" t="n"/>
      <c r="H175" s="11" t="n"/>
      <c r="I175" s="11" t="n"/>
      <c r="J175" s="11">
        <f>IF(B175="","",IFERROR(RIGHT(B175,4)&amp;" T"&amp;ROUNDUP(VALUE(MID(B175,4,2))/3,0),""))</f>
        <v/>
      </c>
    </row>
    <row r="176">
      <c r="A176" s="10">
        <f>IF(B176="","",ROW()-5)</f>
        <v/>
      </c>
      <c r="B176" s="11" t="n"/>
      <c r="C176" s="11" t="n"/>
      <c r="D176" s="11" t="n"/>
      <c r="E176" s="12" t="n"/>
      <c r="F176" s="11" t="n"/>
      <c r="G176" s="11" t="n"/>
      <c r="H176" s="11" t="n"/>
      <c r="I176" s="11" t="n"/>
      <c r="J176" s="11">
        <f>IF(B176="","",IFERROR(RIGHT(B176,4)&amp;" T"&amp;ROUNDUP(VALUE(MID(B176,4,2))/3,0),""))</f>
        <v/>
      </c>
    </row>
    <row r="177">
      <c r="A177" s="10">
        <f>IF(B177="","",ROW()-5)</f>
        <v/>
      </c>
      <c r="B177" s="11" t="n"/>
      <c r="C177" s="11" t="n"/>
      <c r="D177" s="11" t="n"/>
      <c r="E177" s="12" t="n"/>
      <c r="F177" s="11" t="n"/>
      <c r="G177" s="11" t="n"/>
      <c r="H177" s="11" t="n"/>
      <c r="I177" s="11" t="n"/>
      <c r="J177" s="11">
        <f>IF(B177="","",IFERROR(RIGHT(B177,4)&amp;" T"&amp;ROUNDUP(VALUE(MID(B177,4,2))/3,0),""))</f>
        <v/>
      </c>
    </row>
    <row r="178">
      <c r="A178" s="10">
        <f>IF(B178="","",ROW()-5)</f>
        <v/>
      </c>
      <c r="B178" s="11" t="n"/>
      <c r="C178" s="11" t="n"/>
      <c r="D178" s="11" t="n"/>
      <c r="E178" s="12" t="n"/>
      <c r="F178" s="11" t="n"/>
      <c r="G178" s="11" t="n"/>
      <c r="H178" s="11" t="n"/>
      <c r="I178" s="11" t="n"/>
      <c r="J178" s="11">
        <f>IF(B178="","",IFERROR(RIGHT(B178,4)&amp;" T"&amp;ROUNDUP(VALUE(MID(B178,4,2))/3,0),""))</f>
        <v/>
      </c>
    </row>
    <row r="179">
      <c r="A179" s="10">
        <f>IF(B179="","",ROW()-5)</f>
        <v/>
      </c>
      <c r="B179" s="11" t="n"/>
      <c r="C179" s="11" t="n"/>
      <c r="D179" s="11" t="n"/>
      <c r="E179" s="12" t="n"/>
      <c r="F179" s="11" t="n"/>
      <c r="G179" s="11" t="n"/>
      <c r="H179" s="11" t="n"/>
      <c r="I179" s="11" t="n"/>
      <c r="J179" s="11">
        <f>IF(B179="","",IFERROR(RIGHT(B179,4)&amp;" T"&amp;ROUNDUP(VALUE(MID(B179,4,2))/3,0),""))</f>
        <v/>
      </c>
    </row>
    <row r="180">
      <c r="A180" s="10">
        <f>IF(B180="","",ROW()-5)</f>
        <v/>
      </c>
      <c r="B180" s="11" t="n"/>
      <c r="C180" s="11" t="n"/>
      <c r="D180" s="11" t="n"/>
      <c r="E180" s="12" t="n"/>
      <c r="F180" s="11" t="n"/>
      <c r="G180" s="11" t="n"/>
      <c r="H180" s="11" t="n"/>
      <c r="I180" s="11" t="n"/>
      <c r="J180" s="11">
        <f>IF(B180="","",IFERROR(RIGHT(B180,4)&amp;" T"&amp;ROUNDUP(VALUE(MID(B180,4,2))/3,0),""))</f>
        <v/>
      </c>
    </row>
    <row r="181">
      <c r="A181" s="10">
        <f>IF(B181="","",ROW()-5)</f>
        <v/>
      </c>
      <c r="B181" s="11" t="n"/>
      <c r="C181" s="11" t="n"/>
      <c r="D181" s="11" t="n"/>
      <c r="E181" s="12" t="n"/>
      <c r="F181" s="11" t="n"/>
      <c r="G181" s="11" t="n"/>
      <c r="H181" s="11" t="n"/>
      <c r="I181" s="11" t="n"/>
      <c r="J181" s="11">
        <f>IF(B181="","",IFERROR(RIGHT(B181,4)&amp;" T"&amp;ROUNDUP(VALUE(MID(B181,4,2))/3,0),""))</f>
        <v/>
      </c>
    </row>
    <row r="182">
      <c r="A182" s="10">
        <f>IF(B182="","",ROW()-5)</f>
        <v/>
      </c>
      <c r="B182" s="11" t="n"/>
      <c r="C182" s="11" t="n"/>
      <c r="D182" s="11" t="n"/>
      <c r="E182" s="12" t="n"/>
      <c r="F182" s="11" t="n"/>
      <c r="G182" s="11" t="n"/>
      <c r="H182" s="11" t="n"/>
      <c r="I182" s="11" t="n"/>
      <c r="J182" s="11">
        <f>IF(B182="","",IFERROR(RIGHT(B182,4)&amp;" T"&amp;ROUNDUP(VALUE(MID(B182,4,2))/3,0),""))</f>
        <v/>
      </c>
    </row>
    <row r="183">
      <c r="A183" s="10">
        <f>IF(B183="","",ROW()-5)</f>
        <v/>
      </c>
      <c r="B183" s="11" t="n"/>
      <c r="C183" s="11" t="n"/>
      <c r="D183" s="11" t="n"/>
      <c r="E183" s="12" t="n"/>
      <c r="F183" s="11" t="n"/>
      <c r="G183" s="11" t="n"/>
      <c r="H183" s="11" t="n"/>
      <c r="I183" s="11" t="n"/>
      <c r="J183" s="11">
        <f>IF(B183="","",IFERROR(RIGHT(B183,4)&amp;" T"&amp;ROUNDUP(VALUE(MID(B183,4,2))/3,0),""))</f>
        <v/>
      </c>
    </row>
    <row r="184">
      <c r="A184" s="10">
        <f>IF(B184="","",ROW()-5)</f>
        <v/>
      </c>
      <c r="B184" s="11" t="n"/>
      <c r="C184" s="11" t="n"/>
      <c r="D184" s="11" t="n"/>
      <c r="E184" s="12" t="n"/>
      <c r="F184" s="11" t="n"/>
      <c r="G184" s="11" t="n"/>
      <c r="H184" s="11" t="n"/>
      <c r="I184" s="11" t="n"/>
      <c r="J184" s="11">
        <f>IF(B184="","",IFERROR(RIGHT(B184,4)&amp;" T"&amp;ROUNDUP(VALUE(MID(B184,4,2))/3,0),""))</f>
        <v/>
      </c>
    </row>
    <row r="185">
      <c r="A185" s="10">
        <f>IF(B185="","",ROW()-5)</f>
        <v/>
      </c>
      <c r="B185" s="11" t="n"/>
      <c r="C185" s="11" t="n"/>
      <c r="D185" s="11" t="n"/>
      <c r="E185" s="12" t="n"/>
      <c r="F185" s="11" t="n"/>
      <c r="G185" s="11" t="n"/>
      <c r="H185" s="11" t="n"/>
      <c r="I185" s="11" t="n"/>
      <c r="J185" s="11">
        <f>IF(B185="","",IFERROR(RIGHT(B185,4)&amp;" T"&amp;ROUNDUP(VALUE(MID(B185,4,2))/3,0),""))</f>
        <v/>
      </c>
    </row>
    <row r="186">
      <c r="A186" s="10">
        <f>IF(B186="","",ROW()-5)</f>
        <v/>
      </c>
      <c r="B186" s="11" t="n"/>
      <c r="C186" s="11" t="n"/>
      <c r="D186" s="11" t="n"/>
      <c r="E186" s="12" t="n"/>
      <c r="F186" s="11" t="n"/>
      <c r="G186" s="11" t="n"/>
      <c r="H186" s="11" t="n"/>
      <c r="I186" s="11" t="n"/>
      <c r="J186" s="11">
        <f>IF(B186="","",IFERROR(RIGHT(B186,4)&amp;" T"&amp;ROUNDUP(VALUE(MID(B186,4,2))/3,0),""))</f>
        <v/>
      </c>
    </row>
    <row r="187">
      <c r="A187" s="10">
        <f>IF(B187="","",ROW()-5)</f>
        <v/>
      </c>
      <c r="B187" s="11" t="n"/>
      <c r="C187" s="11" t="n"/>
      <c r="D187" s="11" t="n"/>
      <c r="E187" s="12" t="n"/>
      <c r="F187" s="11" t="n"/>
      <c r="G187" s="11" t="n"/>
      <c r="H187" s="11" t="n"/>
      <c r="I187" s="11" t="n"/>
      <c r="J187" s="11">
        <f>IF(B187="","",IFERROR(RIGHT(B187,4)&amp;" T"&amp;ROUNDUP(VALUE(MID(B187,4,2))/3,0),""))</f>
        <v/>
      </c>
    </row>
    <row r="188">
      <c r="A188" s="10">
        <f>IF(B188="","",ROW()-5)</f>
        <v/>
      </c>
      <c r="B188" s="11" t="n"/>
      <c r="C188" s="11" t="n"/>
      <c r="D188" s="11" t="n"/>
      <c r="E188" s="12" t="n"/>
      <c r="F188" s="11" t="n"/>
      <c r="G188" s="11" t="n"/>
      <c r="H188" s="11" t="n"/>
      <c r="I188" s="11" t="n"/>
      <c r="J188" s="11">
        <f>IF(B188="","",IFERROR(RIGHT(B188,4)&amp;" T"&amp;ROUNDUP(VALUE(MID(B188,4,2))/3,0),""))</f>
        <v/>
      </c>
    </row>
    <row r="189">
      <c r="A189" s="10">
        <f>IF(B189="","",ROW()-5)</f>
        <v/>
      </c>
      <c r="B189" s="11" t="n"/>
      <c r="C189" s="11" t="n"/>
      <c r="D189" s="11" t="n"/>
      <c r="E189" s="12" t="n"/>
      <c r="F189" s="11" t="n"/>
      <c r="G189" s="11" t="n"/>
      <c r="H189" s="11" t="n"/>
      <c r="I189" s="11" t="n"/>
      <c r="J189" s="11">
        <f>IF(B189="","",IFERROR(RIGHT(B189,4)&amp;" T"&amp;ROUNDUP(VALUE(MID(B189,4,2))/3,0),""))</f>
        <v/>
      </c>
    </row>
    <row r="190">
      <c r="A190" s="10">
        <f>IF(B190="","",ROW()-5)</f>
        <v/>
      </c>
      <c r="B190" s="11" t="n"/>
      <c r="C190" s="11" t="n"/>
      <c r="D190" s="11" t="n"/>
      <c r="E190" s="12" t="n"/>
      <c r="F190" s="11" t="n"/>
      <c r="G190" s="11" t="n"/>
      <c r="H190" s="11" t="n"/>
      <c r="I190" s="11" t="n"/>
      <c r="J190" s="11">
        <f>IF(B190="","",IFERROR(RIGHT(B190,4)&amp;" T"&amp;ROUNDUP(VALUE(MID(B190,4,2))/3,0),""))</f>
        <v/>
      </c>
    </row>
    <row r="191">
      <c r="A191" s="10">
        <f>IF(B191="","",ROW()-5)</f>
        <v/>
      </c>
      <c r="B191" s="11" t="n"/>
      <c r="C191" s="11" t="n"/>
      <c r="D191" s="11" t="n"/>
      <c r="E191" s="12" t="n"/>
      <c r="F191" s="11" t="n"/>
      <c r="G191" s="11" t="n"/>
      <c r="H191" s="11" t="n"/>
      <c r="I191" s="11" t="n"/>
      <c r="J191" s="11">
        <f>IF(B191="","",IFERROR(RIGHT(B191,4)&amp;" T"&amp;ROUNDUP(VALUE(MID(B191,4,2))/3,0),""))</f>
        <v/>
      </c>
    </row>
    <row r="192">
      <c r="A192" s="10">
        <f>IF(B192="","",ROW()-5)</f>
        <v/>
      </c>
      <c r="B192" s="11" t="n"/>
      <c r="C192" s="11" t="n"/>
      <c r="D192" s="11" t="n"/>
      <c r="E192" s="12" t="n"/>
      <c r="F192" s="11" t="n"/>
      <c r="G192" s="11" t="n"/>
      <c r="H192" s="11" t="n"/>
      <c r="I192" s="11" t="n"/>
      <c r="J192" s="11">
        <f>IF(B192="","",IFERROR(RIGHT(B192,4)&amp;" T"&amp;ROUNDUP(VALUE(MID(B192,4,2))/3,0),""))</f>
        <v/>
      </c>
    </row>
    <row r="193">
      <c r="A193" s="10">
        <f>IF(B193="","",ROW()-5)</f>
        <v/>
      </c>
      <c r="B193" s="11" t="n"/>
      <c r="C193" s="11" t="n"/>
      <c r="D193" s="11" t="n"/>
      <c r="E193" s="12" t="n"/>
      <c r="F193" s="11" t="n"/>
      <c r="G193" s="11" t="n"/>
      <c r="H193" s="11" t="n"/>
      <c r="I193" s="11" t="n"/>
      <c r="J193" s="11">
        <f>IF(B193="","",IFERROR(RIGHT(B193,4)&amp;" T"&amp;ROUNDUP(VALUE(MID(B193,4,2))/3,0),""))</f>
        <v/>
      </c>
    </row>
    <row r="194">
      <c r="A194" s="10">
        <f>IF(B194="","",ROW()-5)</f>
        <v/>
      </c>
      <c r="B194" s="11" t="n"/>
      <c r="C194" s="11" t="n"/>
      <c r="D194" s="11" t="n"/>
      <c r="E194" s="12" t="n"/>
      <c r="F194" s="11" t="n"/>
      <c r="G194" s="11" t="n"/>
      <c r="H194" s="11" t="n"/>
      <c r="I194" s="11" t="n"/>
      <c r="J194" s="11">
        <f>IF(B194="","",IFERROR(RIGHT(B194,4)&amp;" T"&amp;ROUNDUP(VALUE(MID(B194,4,2))/3,0),""))</f>
        <v/>
      </c>
    </row>
    <row r="195">
      <c r="A195" s="10">
        <f>IF(B195="","",ROW()-5)</f>
        <v/>
      </c>
      <c r="B195" s="11" t="n"/>
      <c r="C195" s="11" t="n"/>
      <c r="D195" s="11" t="n"/>
      <c r="E195" s="12" t="n"/>
      <c r="F195" s="11" t="n"/>
      <c r="G195" s="11" t="n"/>
      <c r="H195" s="11" t="n"/>
      <c r="I195" s="11" t="n"/>
      <c r="J195" s="11">
        <f>IF(B195="","",IFERROR(RIGHT(B195,4)&amp;" T"&amp;ROUNDUP(VALUE(MID(B195,4,2))/3,0),""))</f>
        <v/>
      </c>
    </row>
    <row r="196">
      <c r="A196" s="10">
        <f>IF(B196="","",ROW()-5)</f>
        <v/>
      </c>
      <c r="B196" s="11" t="n"/>
      <c r="C196" s="11" t="n"/>
      <c r="D196" s="11" t="n"/>
      <c r="E196" s="12" t="n"/>
      <c r="F196" s="11" t="n"/>
      <c r="G196" s="11" t="n"/>
      <c r="H196" s="11" t="n"/>
      <c r="I196" s="11" t="n"/>
      <c r="J196" s="11">
        <f>IF(B196="","",IFERROR(RIGHT(B196,4)&amp;" T"&amp;ROUNDUP(VALUE(MID(B196,4,2))/3,0),""))</f>
        <v/>
      </c>
    </row>
    <row r="197">
      <c r="A197" s="10">
        <f>IF(B197="","",ROW()-5)</f>
        <v/>
      </c>
      <c r="B197" s="11" t="n"/>
      <c r="C197" s="11" t="n"/>
      <c r="D197" s="11" t="n"/>
      <c r="E197" s="12" t="n"/>
      <c r="F197" s="11" t="n"/>
      <c r="G197" s="11" t="n"/>
      <c r="H197" s="11" t="n"/>
      <c r="I197" s="11" t="n"/>
      <c r="J197" s="11">
        <f>IF(B197="","",IFERROR(RIGHT(B197,4)&amp;" T"&amp;ROUNDUP(VALUE(MID(B197,4,2))/3,0),""))</f>
        <v/>
      </c>
    </row>
    <row r="198">
      <c r="A198" s="10">
        <f>IF(B198="","",ROW()-5)</f>
        <v/>
      </c>
      <c r="B198" s="11" t="n"/>
      <c r="C198" s="11" t="n"/>
      <c r="D198" s="11" t="n"/>
      <c r="E198" s="12" t="n"/>
      <c r="F198" s="11" t="n"/>
      <c r="G198" s="11" t="n"/>
      <c r="H198" s="11" t="n"/>
      <c r="I198" s="11" t="n"/>
      <c r="J198" s="11">
        <f>IF(B198="","",IFERROR(RIGHT(B198,4)&amp;" T"&amp;ROUNDUP(VALUE(MID(B198,4,2))/3,0),""))</f>
        <v/>
      </c>
    </row>
    <row r="199">
      <c r="A199" s="10">
        <f>IF(B199="","",ROW()-5)</f>
        <v/>
      </c>
      <c r="B199" s="11" t="n"/>
      <c r="C199" s="11" t="n"/>
      <c r="D199" s="11" t="n"/>
      <c r="E199" s="12" t="n"/>
      <c r="F199" s="11" t="n"/>
      <c r="G199" s="11" t="n"/>
      <c r="H199" s="11" t="n"/>
      <c r="I199" s="11" t="n"/>
      <c r="J199" s="11">
        <f>IF(B199="","",IFERROR(RIGHT(B199,4)&amp;" T"&amp;ROUNDUP(VALUE(MID(B199,4,2))/3,0),""))</f>
        <v/>
      </c>
    </row>
    <row r="200">
      <c r="A200" s="10">
        <f>IF(B200="","",ROW()-5)</f>
        <v/>
      </c>
      <c r="B200" s="11" t="n"/>
      <c r="C200" s="11" t="n"/>
      <c r="D200" s="11" t="n"/>
      <c r="E200" s="12" t="n"/>
      <c r="F200" s="11" t="n"/>
      <c r="G200" s="11" t="n"/>
      <c r="H200" s="11" t="n"/>
      <c r="I200" s="11" t="n"/>
      <c r="J200" s="11">
        <f>IF(B200="","",IFERROR(RIGHT(B200,4)&amp;" T"&amp;ROUNDUP(VALUE(MID(B200,4,2))/3,0),""))</f>
        <v/>
      </c>
    </row>
    <row r="201">
      <c r="A201" s="10">
        <f>IF(B201="","",ROW()-5)</f>
        <v/>
      </c>
      <c r="B201" s="11" t="n"/>
      <c r="C201" s="11" t="n"/>
      <c r="D201" s="11" t="n"/>
      <c r="E201" s="12" t="n"/>
      <c r="F201" s="11" t="n"/>
      <c r="G201" s="11" t="n"/>
      <c r="H201" s="11" t="n"/>
      <c r="I201" s="11" t="n"/>
      <c r="J201" s="11">
        <f>IF(B201="","",IFERROR(RIGHT(B201,4)&amp;" T"&amp;ROUNDUP(VALUE(MID(B201,4,2))/3,0),""))</f>
        <v/>
      </c>
    </row>
    <row r="202">
      <c r="A202" s="10">
        <f>IF(B202="","",ROW()-5)</f>
        <v/>
      </c>
      <c r="B202" s="11" t="n"/>
      <c r="C202" s="11" t="n"/>
      <c r="D202" s="11" t="n"/>
      <c r="E202" s="12" t="n"/>
      <c r="F202" s="11" t="n"/>
      <c r="G202" s="11" t="n"/>
      <c r="H202" s="11" t="n"/>
      <c r="I202" s="11" t="n"/>
      <c r="J202" s="11">
        <f>IF(B202="","",IFERROR(RIGHT(B202,4)&amp;" T"&amp;ROUNDUP(VALUE(MID(B202,4,2))/3,0),""))</f>
        <v/>
      </c>
    </row>
    <row r="203">
      <c r="A203" s="10">
        <f>IF(B203="","",ROW()-5)</f>
        <v/>
      </c>
      <c r="B203" s="11" t="n"/>
      <c r="C203" s="11" t="n"/>
      <c r="D203" s="11" t="n"/>
      <c r="E203" s="12" t="n"/>
      <c r="F203" s="11" t="n"/>
      <c r="G203" s="11" t="n"/>
      <c r="H203" s="11" t="n"/>
      <c r="I203" s="11" t="n"/>
      <c r="J203" s="11">
        <f>IF(B203="","",IFERROR(RIGHT(B203,4)&amp;" T"&amp;ROUNDUP(VALUE(MID(B203,4,2))/3,0),""))</f>
        <v/>
      </c>
    </row>
    <row r="204">
      <c r="A204" s="10">
        <f>IF(B204="","",ROW()-5)</f>
        <v/>
      </c>
      <c r="B204" s="11" t="n"/>
      <c r="C204" s="11" t="n"/>
      <c r="D204" s="11" t="n"/>
      <c r="E204" s="12" t="n"/>
      <c r="F204" s="11" t="n"/>
      <c r="G204" s="11" t="n"/>
      <c r="H204" s="11" t="n"/>
      <c r="I204" s="11" t="n"/>
      <c r="J204" s="11">
        <f>IF(B204="","",IFERROR(RIGHT(B204,4)&amp;" T"&amp;ROUNDUP(VALUE(MID(B204,4,2))/3,0),""))</f>
        <v/>
      </c>
    </row>
    <row r="205">
      <c r="A205" s="10">
        <f>IF(B205="","",ROW()-5)</f>
        <v/>
      </c>
      <c r="B205" s="11" t="n"/>
      <c r="C205" s="11" t="n"/>
      <c r="D205" s="11" t="n"/>
      <c r="E205" s="12" t="n"/>
      <c r="F205" s="11" t="n"/>
      <c r="G205" s="11" t="n"/>
      <c r="H205" s="11" t="n"/>
      <c r="I205" s="11" t="n"/>
      <c r="J205" s="11">
        <f>IF(B205="","",IFERROR(RIGHT(B205,4)&amp;" T"&amp;ROUNDUP(VALUE(MID(B205,4,2))/3,0),""))</f>
        <v/>
      </c>
    </row>
    <row r="206">
      <c r="A206" s="10">
        <f>IF(B206="","",ROW()-5)</f>
        <v/>
      </c>
      <c r="B206" s="11" t="n"/>
      <c r="C206" s="11" t="n"/>
      <c r="D206" s="11" t="n"/>
      <c r="E206" s="12" t="n"/>
      <c r="F206" s="11" t="n"/>
      <c r="G206" s="11" t="n"/>
      <c r="H206" s="11" t="n"/>
      <c r="I206" s="11" t="n"/>
      <c r="J206" s="11">
        <f>IF(B206="","",IFERROR(RIGHT(B206,4)&amp;" T"&amp;ROUNDUP(VALUE(MID(B206,4,2))/3,0),""))</f>
        <v/>
      </c>
    </row>
    <row r="207">
      <c r="A207" s="10">
        <f>IF(B207="","",ROW()-5)</f>
        <v/>
      </c>
      <c r="B207" s="11" t="n"/>
      <c r="C207" s="11" t="n"/>
      <c r="D207" s="11" t="n"/>
      <c r="E207" s="12" t="n"/>
      <c r="F207" s="11" t="n"/>
      <c r="G207" s="11" t="n"/>
      <c r="H207" s="11" t="n"/>
      <c r="I207" s="11" t="n"/>
      <c r="J207" s="11">
        <f>IF(B207="","",IFERROR(RIGHT(B207,4)&amp;" T"&amp;ROUNDUP(VALUE(MID(B207,4,2))/3,0),""))</f>
        <v/>
      </c>
    </row>
    <row r="208">
      <c r="A208" s="10">
        <f>IF(B208="","",ROW()-5)</f>
        <v/>
      </c>
      <c r="B208" s="11" t="n"/>
      <c r="C208" s="11" t="n"/>
      <c r="D208" s="11" t="n"/>
      <c r="E208" s="12" t="n"/>
      <c r="F208" s="11" t="n"/>
      <c r="G208" s="11" t="n"/>
      <c r="H208" s="11" t="n"/>
      <c r="I208" s="11" t="n"/>
      <c r="J208" s="11">
        <f>IF(B208="","",IFERROR(RIGHT(B208,4)&amp;" T"&amp;ROUNDUP(VALUE(MID(B208,4,2))/3,0),""))</f>
        <v/>
      </c>
    </row>
    <row r="209">
      <c r="A209" s="10">
        <f>IF(B209="","",ROW()-5)</f>
        <v/>
      </c>
      <c r="B209" s="11" t="n"/>
      <c r="C209" s="11" t="n"/>
      <c r="D209" s="11" t="n"/>
      <c r="E209" s="12" t="n"/>
      <c r="F209" s="11" t="n"/>
      <c r="G209" s="11" t="n"/>
      <c r="H209" s="11" t="n"/>
      <c r="I209" s="11" t="n"/>
      <c r="J209" s="11">
        <f>IF(B209="","",IFERROR(RIGHT(B209,4)&amp;" T"&amp;ROUNDUP(VALUE(MID(B209,4,2))/3,0),""))</f>
        <v/>
      </c>
    </row>
    <row r="210">
      <c r="A210" s="10">
        <f>IF(B210="","",ROW()-5)</f>
        <v/>
      </c>
      <c r="B210" s="11" t="n"/>
      <c r="C210" s="11" t="n"/>
      <c r="D210" s="11" t="n"/>
      <c r="E210" s="12" t="n"/>
      <c r="F210" s="11" t="n"/>
      <c r="G210" s="11" t="n"/>
      <c r="H210" s="11" t="n"/>
      <c r="I210" s="11" t="n"/>
      <c r="J210" s="11">
        <f>IF(B210="","",IFERROR(RIGHT(B210,4)&amp;" T"&amp;ROUNDUP(VALUE(MID(B210,4,2))/3,0),""))</f>
        <v/>
      </c>
    </row>
    <row r="211">
      <c r="A211" s="10">
        <f>IF(B211="","",ROW()-5)</f>
        <v/>
      </c>
      <c r="B211" s="11" t="n"/>
      <c r="C211" s="11" t="n"/>
      <c r="D211" s="11" t="n"/>
      <c r="E211" s="12" t="n"/>
      <c r="F211" s="11" t="n"/>
      <c r="G211" s="11" t="n"/>
      <c r="H211" s="11" t="n"/>
      <c r="I211" s="11" t="n"/>
      <c r="J211" s="11">
        <f>IF(B211="","",IFERROR(RIGHT(B211,4)&amp;" T"&amp;ROUNDUP(VALUE(MID(B211,4,2))/3,0),""))</f>
        <v/>
      </c>
    </row>
    <row r="212">
      <c r="A212" s="10">
        <f>IF(B212="","",ROW()-5)</f>
        <v/>
      </c>
      <c r="B212" s="11" t="n"/>
      <c r="C212" s="11" t="n"/>
      <c r="D212" s="11" t="n"/>
      <c r="E212" s="12" t="n"/>
      <c r="F212" s="11" t="n"/>
      <c r="G212" s="11" t="n"/>
      <c r="H212" s="11" t="n"/>
      <c r="I212" s="11" t="n"/>
      <c r="J212" s="11">
        <f>IF(B212="","",IFERROR(RIGHT(B212,4)&amp;" T"&amp;ROUNDUP(VALUE(MID(B212,4,2))/3,0),""))</f>
        <v/>
      </c>
    </row>
    <row r="213">
      <c r="A213" s="10">
        <f>IF(B213="","",ROW()-5)</f>
        <v/>
      </c>
      <c r="B213" s="11" t="n"/>
      <c r="C213" s="11" t="n"/>
      <c r="D213" s="11" t="n"/>
      <c r="E213" s="12" t="n"/>
      <c r="F213" s="11" t="n"/>
      <c r="G213" s="11" t="n"/>
      <c r="H213" s="11" t="n"/>
      <c r="I213" s="11" t="n"/>
      <c r="J213" s="11">
        <f>IF(B213="","",IFERROR(RIGHT(B213,4)&amp;" T"&amp;ROUNDUP(VALUE(MID(B213,4,2))/3,0),""))</f>
        <v/>
      </c>
    </row>
    <row r="214">
      <c r="A214" s="10">
        <f>IF(B214="","",ROW()-5)</f>
        <v/>
      </c>
      <c r="B214" s="11" t="n"/>
      <c r="C214" s="11" t="n"/>
      <c r="D214" s="11" t="n"/>
      <c r="E214" s="12" t="n"/>
      <c r="F214" s="11" t="n"/>
      <c r="G214" s="11" t="n"/>
      <c r="H214" s="11" t="n"/>
      <c r="I214" s="11" t="n"/>
      <c r="J214" s="11">
        <f>IF(B214="","",IFERROR(RIGHT(B214,4)&amp;" T"&amp;ROUNDUP(VALUE(MID(B214,4,2))/3,0),""))</f>
        <v/>
      </c>
    </row>
    <row r="215">
      <c r="A215" s="10">
        <f>IF(B215="","",ROW()-5)</f>
        <v/>
      </c>
      <c r="B215" s="11" t="n"/>
      <c r="C215" s="11" t="n"/>
      <c r="D215" s="11" t="n"/>
      <c r="E215" s="12" t="n"/>
      <c r="F215" s="11" t="n"/>
      <c r="G215" s="11" t="n"/>
      <c r="H215" s="11" t="n"/>
      <c r="I215" s="11" t="n"/>
      <c r="J215" s="11">
        <f>IF(B215="","",IFERROR(RIGHT(B215,4)&amp;" T"&amp;ROUNDUP(VALUE(MID(B215,4,2))/3,0),""))</f>
        <v/>
      </c>
    </row>
    <row r="216">
      <c r="A216" s="10">
        <f>IF(B216="","",ROW()-5)</f>
        <v/>
      </c>
      <c r="B216" s="11" t="n"/>
      <c r="C216" s="11" t="n"/>
      <c r="D216" s="11" t="n"/>
      <c r="E216" s="12" t="n"/>
      <c r="F216" s="11" t="n"/>
      <c r="G216" s="11" t="n"/>
      <c r="H216" s="11" t="n"/>
      <c r="I216" s="11" t="n"/>
      <c r="J216" s="11">
        <f>IF(B216="","",IFERROR(RIGHT(B216,4)&amp;" T"&amp;ROUNDUP(VALUE(MID(B216,4,2))/3,0),""))</f>
        <v/>
      </c>
    </row>
    <row r="217">
      <c r="A217" s="10">
        <f>IF(B217="","",ROW()-5)</f>
        <v/>
      </c>
      <c r="B217" s="11" t="n"/>
      <c r="C217" s="11" t="n"/>
      <c r="D217" s="11" t="n"/>
      <c r="E217" s="12" t="n"/>
      <c r="F217" s="11" t="n"/>
      <c r="G217" s="11" t="n"/>
      <c r="H217" s="11" t="n"/>
      <c r="I217" s="11" t="n"/>
      <c r="J217" s="11">
        <f>IF(B217="","",IFERROR(RIGHT(B217,4)&amp;" T"&amp;ROUNDUP(VALUE(MID(B217,4,2))/3,0),""))</f>
        <v/>
      </c>
    </row>
    <row r="218">
      <c r="A218" s="10">
        <f>IF(B218="","",ROW()-5)</f>
        <v/>
      </c>
      <c r="B218" s="11" t="n"/>
      <c r="C218" s="11" t="n"/>
      <c r="D218" s="11" t="n"/>
      <c r="E218" s="12" t="n"/>
      <c r="F218" s="11" t="n"/>
      <c r="G218" s="11" t="n"/>
      <c r="H218" s="11" t="n"/>
      <c r="I218" s="11" t="n"/>
      <c r="J218" s="11">
        <f>IF(B218="","",IFERROR(RIGHT(B218,4)&amp;" T"&amp;ROUNDUP(VALUE(MID(B218,4,2))/3,0),""))</f>
        <v/>
      </c>
    </row>
    <row r="219">
      <c r="A219" s="10">
        <f>IF(B219="","",ROW()-5)</f>
        <v/>
      </c>
      <c r="B219" s="11" t="n"/>
      <c r="C219" s="11" t="n"/>
      <c r="D219" s="11" t="n"/>
      <c r="E219" s="12" t="n"/>
      <c r="F219" s="11" t="n"/>
      <c r="G219" s="11" t="n"/>
      <c r="H219" s="11" t="n"/>
      <c r="I219" s="11" t="n"/>
      <c r="J219" s="11">
        <f>IF(B219="","",IFERROR(RIGHT(B219,4)&amp;" T"&amp;ROUNDUP(VALUE(MID(B219,4,2))/3,0),""))</f>
        <v/>
      </c>
    </row>
    <row r="220">
      <c r="A220" s="10">
        <f>IF(B220="","",ROW()-5)</f>
        <v/>
      </c>
      <c r="B220" s="11" t="n"/>
      <c r="C220" s="11" t="n"/>
      <c r="D220" s="11" t="n"/>
      <c r="E220" s="12" t="n"/>
      <c r="F220" s="11" t="n"/>
      <c r="G220" s="11" t="n"/>
      <c r="H220" s="11" t="n"/>
      <c r="I220" s="11" t="n"/>
      <c r="J220" s="11">
        <f>IF(B220="","",IFERROR(RIGHT(B220,4)&amp;" T"&amp;ROUNDUP(VALUE(MID(B220,4,2))/3,0),""))</f>
        <v/>
      </c>
    </row>
    <row r="221">
      <c r="A221" s="10">
        <f>IF(B221="","",ROW()-5)</f>
        <v/>
      </c>
      <c r="B221" s="11" t="n"/>
      <c r="C221" s="11" t="n"/>
      <c r="D221" s="11" t="n"/>
      <c r="E221" s="12" t="n"/>
      <c r="F221" s="11" t="n"/>
      <c r="G221" s="11" t="n"/>
      <c r="H221" s="11" t="n"/>
      <c r="I221" s="11" t="n"/>
      <c r="J221" s="11">
        <f>IF(B221="","",IFERROR(RIGHT(B221,4)&amp;" T"&amp;ROUNDUP(VALUE(MID(B221,4,2))/3,0),""))</f>
        <v/>
      </c>
    </row>
    <row r="222">
      <c r="A222" s="10">
        <f>IF(B222="","",ROW()-5)</f>
        <v/>
      </c>
      <c r="B222" s="11" t="n"/>
      <c r="C222" s="11" t="n"/>
      <c r="D222" s="11" t="n"/>
      <c r="E222" s="12" t="n"/>
      <c r="F222" s="11" t="n"/>
      <c r="G222" s="11" t="n"/>
      <c r="H222" s="11" t="n"/>
      <c r="I222" s="11" t="n"/>
      <c r="J222" s="11">
        <f>IF(B222="","",IFERROR(RIGHT(B222,4)&amp;" T"&amp;ROUNDUP(VALUE(MID(B222,4,2))/3,0),""))</f>
        <v/>
      </c>
    </row>
    <row r="223">
      <c r="A223" s="10">
        <f>IF(B223="","",ROW()-5)</f>
        <v/>
      </c>
      <c r="B223" s="11" t="n"/>
      <c r="C223" s="11" t="n"/>
      <c r="D223" s="11" t="n"/>
      <c r="E223" s="12" t="n"/>
      <c r="F223" s="11" t="n"/>
      <c r="G223" s="11" t="n"/>
      <c r="H223" s="11" t="n"/>
      <c r="I223" s="11" t="n"/>
      <c r="J223" s="11">
        <f>IF(B223="","",IFERROR(RIGHT(B223,4)&amp;" T"&amp;ROUNDUP(VALUE(MID(B223,4,2))/3,0),""))</f>
        <v/>
      </c>
    </row>
    <row r="224">
      <c r="A224" s="10">
        <f>IF(B224="","",ROW()-5)</f>
        <v/>
      </c>
      <c r="B224" s="11" t="n"/>
      <c r="C224" s="11" t="n"/>
      <c r="D224" s="11" t="n"/>
      <c r="E224" s="12" t="n"/>
      <c r="F224" s="11" t="n"/>
      <c r="G224" s="11" t="n"/>
      <c r="H224" s="11" t="n"/>
      <c r="I224" s="11" t="n"/>
      <c r="J224" s="11">
        <f>IF(B224="","",IFERROR(RIGHT(B224,4)&amp;" T"&amp;ROUNDUP(VALUE(MID(B224,4,2))/3,0),""))</f>
        <v/>
      </c>
    </row>
    <row r="225">
      <c r="A225" s="10">
        <f>IF(B225="","",ROW()-5)</f>
        <v/>
      </c>
      <c r="B225" s="11" t="n"/>
      <c r="C225" s="11" t="n"/>
      <c r="D225" s="11" t="n"/>
      <c r="E225" s="12" t="n"/>
      <c r="F225" s="11" t="n"/>
      <c r="G225" s="11" t="n"/>
      <c r="H225" s="11" t="n"/>
      <c r="I225" s="11" t="n"/>
      <c r="J225" s="11">
        <f>IF(B225="","",IFERROR(RIGHT(B225,4)&amp;" T"&amp;ROUNDUP(VALUE(MID(B225,4,2))/3,0),""))</f>
        <v/>
      </c>
    </row>
    <row r="226">
      <c r="A226" s="10">
        <f>IF(B226="","",ROW()-5)</f>
        <v/>
      </c>
      <c r="B226" s="11" t="n"/>
      <c r="C226" s="11" t="n"/>
      <c r="D226" s="11" t="n"/>
      <c r="E226" s="12" t="n"/>
      <c r="F226" s="11" t="n"/>
      <c r="G226" s="11" t="n"/>
      <c r="H226" s="11" t="n"/>
      <c r="I226" s="11" t="n"/>
      <c r="J226" s="11">
        <f>IF(B226="","",IFERROR(RIGHT(B226,4)&amp;" T"&amp;ROUNDUP(VALUE(MID(B226,4,2))/3,0),""))</f>
        <v/>
      </c>
    </row>
    <row r="227">
      <c r="A227" s="10">
        <f>IF(B227="","",ROW()-5)</f>
        <v/>
      </c>
      <c r="B227" s="11" t="n"/>
      <c r="C227" s="11" t="n"/>
      <c r="D227" s="11" t="n"/>
      <c r="E227" s="12" t="n"/>
      <c r="F227" s="11" t="n"/>
      <c r="G227" s="11" t="n"/>
      <c r="H227" s="11" t="n"/>
      <c r="I227" s="11" t="n"/>
      <c r="J227" s="11">
        <f>IF(B227="","",IFERROR(RIGHT(B227,4)&amp;" T"&amp;ROUNDUP(VALUE(MID(B227,4,2))/3,0),""))</f>
        <v/>
      </c>
    </row>
    <row r="228">
      <c r="A228" s="10">
        <f>IF(B228="","",ROW()-5)</f>
        <v/>
      </c>
      <c r="B228" s="11" t="n"/>
      <c r="C228" s="11" t="n"/>
      <c r="D228" s="11" t="n"/>
      <c r="E228" s="12" t="n"/>
      <c r="F228" s="11" t="n"/>
      <c r="G228" s="11" t="n"/>
      <c r="H228" s="11" t="n"/>
      <c r="I228" s="11" t="n"/>
      <c r="J228" s="11">
        <f>IF(B228="","",IFERROR(RIGHT(B228,4)&amp;" T"&amp;ROUNDUP(VALUE(MID(B228,4,2))/3,0),""))</f>
        <v/>
      </c>
    </row>
    <row r="229">
      <c r="A229" s="10">
        <f>IF(B229="","",ROW()-5)</f>
        <v/>
      </c>
      <c r="B229" s="11" t="n"/>
      <c r="C229" s="11" t="n"/>
      <c r="D229" s="11" t="n"/>
      <c r="E229" s="12" t="n"/>
      <c r="F229" s="11" t="n"/>
      <c r="G229" s="11" t="n"/>
      <c r="H229" s="11" t="n"/>
      <c r="I229" s="11" t="n"/>
      <c r="J229" s="11">
        <f>IF(B229="","",IFERROR(RIGHT(B229,4)&amp;" T"&amp;ROUNDUP(VALUE(MID(B229,4,2))/3,0),""))</f>
        <v/>
      </c>
    </row>
    <row r="230">
      <c r="A230" s="10">
        <f>IF(B230="","",ROW()-5)</f>
        <v/>
      </c>
      <c r="B230" s="11" t="n"/>
      <c r="C230" s="11" t="n"/>
      <c r="D230" s="11" t="n"/>
      <c r="E230" s="12" t="n"/>
      <c r="F230" s="11" t="n"/>
      <c r="G230" s="11" t="n"/>
      <c r="H230" s="11" t="n"/>
      <c r="I230" s="11" t="n"/>
      <c r="J230" s="11">
        <f>IF(B230="","",IFERROR(RIGHT(B230,4)&amp;" T"&amp;ROUNDUP(VALUE(MID(B230,4,2))/3,0),""))</f>
        <v/>
      </c>
    </row>
    <row r="231">
      <c r="A231" s="10">
        <f>IF(B231="","",ROW()-5)</f>
        <v/>
      </c>
      <c r="B231" s="11" t="n"/>
      <c r="C231" s="11" t="n"/>
      <c r="D231" s="11" t="n"/>
      <c r="E231" s="12" t="n"/>
      <c r="F231" s="11" t="n"/>
      <c r="G231" s="11" t="n"/>
      <c r="H231" s="11" t="n"/>
      <c r="I231" s="11" t="n"/>
      <c r="J231" s="11">
        <f>IF(B231="","",IFERROR(RIGHT(B231,4)&amp;" T"&amp;ROUNDUP(VALUE(MID(B231,4,2))/3,0),""))</f>
        <v/>
      </c>
    </row>
    <row r="232">
      <c r="A232" s="10">
        <f>IF(B232="","",ROW()-5)</f>
        <v/>
      </c>
      <c r="B232" s="11" t="n"/>
      <c r="C232" s="11" t="n"/>
      <c r="D232" s="11" t="n"/>
      <c r="E232" s="12" t="n"/>
      <c r="F232" s="11" t="n"/>
      <c r="G232" s="11" t="n"/>
      <c r="H232" s="11" t="n"/>
      <c r="I232" s="11" t="n"/>
      <c r="J232" s="11">
        <f>IF(B232="","",IFERROR(RIGHT(B232,4)&amp;" T"&amp;ROUNDUP(VALUE(MID(B232,4,2))/3,0),""))</f>
        <v/>
      </c>
    </row>
    <row r="233">
      <c r="A233" s="10">
        <f>IF(B233="","",ROW()-5)</f>
        <v/>
      </c>
      <c r="B233" s="11" t="n"/>
      <c r="C233" s="11" t="n"/>
      <c r="D233" s="11" t="n"/>
      <c r="E233" s="12" t="n"/>
      <c r="F233" s="11" t="n"/>
      <c r="G233" s="11" t="n"/>
      <c r="H233" s="11" t="n"/>
      <c r="I233" s="11" t="n"/>
      <c r="J233" s="11">
        <f>IF(B233="","",IFERROR(RIGHT(B233,4)&amp;" T"&amp;ROUNDUP(VALUE(MID(B233,4,2))/3,0),""))</f>
        <v/>
      </c>
    </row>
    <row r="234">
      <c r="A234" s="10">
        <f>IF(B234="","",ROW()-5)</f>
        <v/>
      </c>
      <c r="B234" s="11" t="n"/>
      <c r="C234" s="11" t="n"/>
      <c r="D234" s="11" t="n"/>
      <c r="E234" s="12" t="n"/>
      <c r="F234" s="11" t="n"/>
      <c r="G234" s="11" t="n"/>
      <c r="H234" s="11" t="n"/>
      <c r="I234" s="11" t="n"/>
      <c r="J234" s="11">
        <f>IF(B234="","",IFERROR(RIGHT(B234,4)&amp;" T"&amp;ROUNDUP(VALUE(MID(B234,4,2))/3,0),""))</f>
        <v/>
      </c>
    </row>
    <row r="235">
      <c r="A235" s="10">
        <f>IF(B235="","",ROW()-5)</f>
        <v/>
      </c>
      <c r="B235" s="11" t="n"/>
      <c r="C235" s="11" t="n"/>
      <c r="D235" s="11" t="n"/>
      <c r="E235" s="12" t="n"/>
      <c r="F235" s="11" t="n"/>
      <c r="G235" s="11" t="n"/>
      <c r="H235" s="11" t="n"/>
      <c r="I235" s="11" t="n"/>
      <c r="J235" s="11">
        <f>IF(B235="","",IFERROR(RIGHT(B235,4)&amp;" T"&amp;ROUNDUP(VALUE(MID(B235,4,2))/3,0),""))</f>
        <v/>
      </c>
    </row>
    <row r="236">
      <c r="A236" s="10">
        <f>IF(B236="","",ROW()-5)</f>
        <v/>
      </c>
      <c r="B236" s="11" t="n"/>
      <c r="C236" s="11" t="n"/>
      <c r="D236" s="11" t="n"/>
      <c r="E236" s="12" t="n"/>
      <c r="F236" s="11" t="n"/>
      <c r="G236" s="11" t="n"/>
      <c r="H236" s="11" t="n"/>
      <c r="I236" s="11" t="n"/>
      <c r="J236" s="11">
        <f>IF(B236="","",IFERROR(RIGHT(B236,4)&amp;" T"&amp;ROUNDUP(VALUE(MID(B236,4,2))/3,0),""))</f>
        <v/>
      </c>
    </row>
    <row r="237">
      <c r="A237" s="10">
        <f>IF(B237="","",ROW()-5)</f>
        <v/>
      </c>
      <c r="B237" s="11" t="n"/>
      <c r="C237" s="11" t="n"/>
      <c r="D237" s="11" t="n"/>
      <c r="E237" s="12" t="n"/>
      <c r="F237" s="11" t="n"/>
      <c r="G237" s="11" t="n"/>
      <c r="H237" s="11" t="n"/>
      <c r="I237" s="11" t="n"/>
      <c r="J237" s="11">
        <f>IF(B237="","",IFERROR(RIGHT(B237,4)&amp;" T"&amp;ROUNDUP(VALUE(MID(B237,4,2))/3,0),""))</f>
        <v/>
      </c>
    </row>
    <row r="238">
      <c r="A238" s="10">
        <f>IF(B238="","",ROW()-5)</f>
        <v/>
      </c>
      <c r="B238" s="11" t="n"/>
      <c r="C238" s="11" t="n"/>
      <c r="D238" s="11" t="n"/>
      <c r="E238" s="12" t="n"/>
      <c r="F238" s="11" t="n"/>
      <c r="G238" s="11" t="n"/>
      <c r="H238" s="11" t="n"/>
      <c r="I238" s="11" t="n"/>
      <c r="J238" s="11">
        <f>IF(B238="","",IFERROR(RIGHT(B238,4)&amp;" T"&amp;ROUNDUP(VALUE(MID(B238,4,2))/3,0),""))</f>
        <v/>
      </c>
    </row>
    <row r="239">
      <c r="A239" s="10">
        <f>IF(B239="","",ROW()-5)</f>
        <v/>
      </c>
      <c r="B239" s="11" t="n"/>
      <c r="C239" s="11" t="n"/>
      <c r="D239" s="11" t="n"/>
      <c r="E239" s="12" t="n"/>
      <c r="F239" s="11" t="n"/>
      <c r="G239" s="11" t="n"/>
      <c r="H239" s="11" t="n"/>
      <c r="I239" s="11" t="n"/>
      <c r="J239" s="11">
        <f>IF(B239="","",IFERROR(RIGHT(B239,4)&amp;" T"&amp;ROUNDUP(VALUE(MID(B239,4,2))/3,0),""))</f>
        <v/>
      </c>
    </row>
    <row r="240">
      <c r="A240" s="10">
        <f>IF(B240="","",ROW()-5)</f>
        <v/>
      </c>
      <c r="B240" s="11" t="n"/>
      <c r="C240" s="11" t="n"/>
      <c r="D240" s="11" t="n"/>
      <c r="E240" s="12" t="n"/>
      <c r="F240" s="11" t="n"/>
      <c r="G240" s="11" t="n"/>
      <c r="H240" s="11" t="n"/>
      <c r="I240" s="11" t="n"/>
      <c r="J240" s="11">
        <f>IF(B240="","",IFERROR(RIGHT(B240,4)&amp;" T"&amp;ROUNDUP(VALUE(MID(B240,4,2))/3,0),""))</f>
        <v/>
      </c>
    </row>
    <row r="241">
      <c r="A241" s="10">
        <f>IF(B241="","",ROW()-5)</f>
        <v/>
      </c>
      <c r="B241" s="11" t="n"/>
      <c r="C241" s="11" t="n"/>
      <c r="D241" s="11" t="n"/>
      <c r="E241" s="12" t="n"/>
      <c r="F241" s="11" t="n"/>
      <c r="G241" s="11" t="n"/>
      <c r="H241" s="11" t="n"/>
      <c r="I241" s="11" t="n"/>
      <c r="J241" s="11">
        <f>IF(B241="","",IFERROR(RIGHT(B241,4)&amp;" T"&amp;ROUNDUP(VALUE(MID(B241,4,2))/3,0),""))</f>
        <v/>
      </c>
    </row>
    <row r="242">
      <c r="A242" s="10">
        <f>IF(B242="","",ROW()-5)</f>
        <v/>
      </c>
      <c r="B242" s="11" t="n"/>
      <c r="C242" s="11" t="n"/>
      <c r="D242" s="11" t="n"/>
      <c r="E242" s="12" t="n"/>
      <c r="F242" s="11" t="n"/>
      <c r="G242" s="11" t="n"/>
      <c r="H242" s="11" t="n"/>
      <c r="I242" s="11" t="n"/>
      <c r="J242" s="11">
        <f>IF(B242="","",IFERROR(RIGHT(B242,4)&amp;" T"&amp;ROUNDUP(VALUE(MID(B242,4,2))/3,0),""))</f>
        <v/>
      </c>
    </row>
    <row r="243">
      <c r="A243" s="10">
        <f>IF(B243="","",ROW()-5)</f>
        <v/>
      </c>
      <c r="B243" s="11" t="n"/>
      <c r="C243" s="11" t="n"/>
      <c r="D243" s="11" t="n"/>
      <c r="E243" s="12" t="n"/>
      <c r="F243" s="11" t="n"/>
      <c r="G243" s="11" t="n"/>
      <c r="H243" s="11" t="n"/>
      <c r="I243" s="11" t="n"/>
      <c r="J243" s="11">
        <f>IF(B243="","",IFERROR(RIGHT(B243,4)&amp;" T"&amp;ROUNDUP(VALUE(MID(B243,4,2))/3,0),""))</f>
        <v/>
      </c>
    </row>
    <row r="244">
      <c r="A244" s="10">
        <f>IF(B244="","",ROW()-5)</f>
        <v/>
      </c>
      <c r="B244" s="11" t="n"/>
      <c r="C244" s="11" t="n"/>
      <c r="D244" s="11" t="n"/>
      <c r="E244" s="12" t="n"/>
      <c r="F244" s="11" t="n"/>
      <c r="G244" s="11" t="n"/>
      <c r="H244" s="11" t="n"/>
      <c r="I244" s="11" t="n"/>
      <c r="J244" s="11">
        <f>IF(B244="","",IFERROR(RIGHT(B244,4)&amp;" T"&amp;ROUNDUP(VALUE(MID(B244,4,2))/3,0),""))</f>
        <v/>
      </c>
    </row>
    <row r="245">
      <c r="A245" s="10">
        <f>IF(B245="","",ROW()-5)</f>
        <v/>
      </c>
      <c r="B245" s="11" t="n"/>
      <c r="C245" s="11" t="n"/>
      <c r="D245" s="11" t="n"/>
      <c r="E245" s="12" t="n"/>
      <c r="F245" s="11" t="n"/>
      <c r="G245" s="11" t="n"/>
      <c r="H245" s="11" t="n"/>
      <c r="I245" s="11" t="n"/>
      <c r="J245" s="11">
        <f>IF(B245="","",IFERROR(RIGHT(B245,4)&amp;" T"&amp;ROUNDUP(VALUE(MID(B245,4,2))/3,0),""))</f>
        <v/>
      </c>
    </row>
    <row r="246">
      <c r="A246" s="10">
        <f>IF(B246="","",ROW()-5)</f>
        <v/>
      </c>
      <c r="B246" s="11" t="n"/>
      <c r="C246" s="11" t="n"/>
      <c r="D246" s="11" t="n"/>
      <c r="E246" s="12" t="n"/>
      <c r="F246" s="11" t="n"/>
      <c r="G246" s="11" t="n"/>
      <c r="H246" s="11" t="n"/>
      <c r="I246" s="11" t="n"/>
      <c r="J246" s="11">
        <f>IF(B246="","",IFERROR(RIGHT(B246,4)&amp;" T"&amp;ROUNDUP(VALUE(MID(B246,4,2))/3,0),""))</f>
        <v/>
      </c>
    </row>
    <row r="247">
      <c r="A247" s="10">
        <f>IF(B247="","",ROW()-5)</f>
        <v/>
      </c>
      <c r="B247" s="11" t="n"/>
      <c r="C247" s="11" t="n"/>
      <c r="D247" s="11" t="n"/>
      <c r="E247" s="12" t="n"/>
      <c r="F247" s="11" t="n"/>
      <c r="G247" s="11" t="n"/>
      <c r="H247" s="11" t="n"/>
      <c r="I247" s="11" t="n"/>
      <c r="J247" s="11">
        <f>IF(B247="","",IFERROR(RIGHT(B247,4)&amp;" T"&amp;ROUNDUP(VALUE(MID(B247,4,2))/3,0),""))</f>
        <v/>
      </c>
    </row>
    <row r="248">
      <c r="A248" s="10">
        <f>IF(B248="","",ROW()-5)</f>
        <v/>
      </c>
      <c r="B248" s="11" t="n"/>
      <c r="C248" s="11" t="n"/>
      <c r="D248" s="11" t="n"/>
      <c r="E248" s="12" t="n"/>
      <c r="F248" s="11" t="n"/>
      <c r="G248" s="11" t="n"/>
      <c r="H248" s="11" t="n"/>
      <c r="I248" s="11" t="n"/>
      <c r="J248" s="11">
        <f>IF(B248="","",IFERROR(RIGHT(B248,4)&amp;" T"&amp;ROUNDUP(VALUE(MID(B248,4,2))/3,0),""))</f>
        <v/>
      </c>
    </row>
    <row r="249">
      <c r="A249" s="10">
        <f>IF(B249="","",ROW()-5)</f>
        <v/>
      </c>
      <c r="B249" s="11" t="n"/>
      <c r="C249" s="11" t="n"/>
      <c r="D249" s="11" t="n"/>
      <c r="E249" s="12" t="n"/>
      <c r="F249" s="11" t="n"/>
      <c r="G249" s="11" t="n"/>
      <c r="H249" s="11" t="n"/>
      <c r="I249" s="11" t="n"/>
      <c r="J249" s="11">
        <f>IF(B249="","",IFERROR(RIGHT(B249,4)&amp;" T"&amp;ROUNDUP(VALUE(MID(B249,4,2))/3,0),""))</f>
        <v/>
      </c>
    </row>
    <row r="250">
      <c r="A250" s="10">
        <f>IF(B250="","",ROW()-5)</f>
        <v/>
      </c>
      <c r="B250" s="11" t="n"/>
      <c r="C250" s="11" t="n"/>
      <c r="D250" s="11" t="n"/>
      <c r="E250" s="12" t="n"/>
      <c r="F250" s="11" t="n"/>
      <c r="G250" s="11" t="n"/>
      <c r="H250" s="11" t="n"/>
      <c r="I250" s="11" t="n"/>
      <c r="J250" s="11">
        <f>IF(B250="","",IFERROR(RIGHT(B250,4)&amp;" T"&amp;ROUNDUP(VALUE(MID(B250,4,2))/3,0),""))</f>
        <v/>
      </c>
    </row>
    <row r="251">
      <c r="A251" s="10">
        <f>IF(B251="","",ROW()-5)</f>
        <v/>
      </c>
      <c r="B251" s="11" t="n"/>
      <c r="C251" s="11" t="n"/>
      <c r="D251" s="11" t="n"/>
      <c r="E251" s="12" t="n"/>
      <c r="F251" s="11" t="n"/>
      <c r="G251" s="11" t="n"/>
      <c r="H251" s="11" t="n"/>
      <c r="I251" s="11" t="n"/>
      <c r="J251" s="11">
        <f>IF(B251="","",IFERROR(RIGHT(B251,4)&amp;" T"&amp;ROUNDUP(VALUE(MID(B251,4,2))/3,0),""))</f>
        <v/>
      </c>
    </row>
    <row r="252">
      <c r="A252" s="10">
        <f>IF(B252="","",ROW()-5)</f>
        <v/>
      </c>
      <c r="B252" s="11" t="n"/>
      <c r="C252" s="11" t="n"/>
      <c r="D252" s="11" t="n"/>
      <c r="E252" s="12" t="n"/>
      <c r="F252" s="11" t="n"/>
      <c r="G252" s="11" t="n"/>
      <c r="H252" s="11" t="n"/>
      <c r="I252" s="11" t="n"/>
      <c r="J252" s="11">
        <f>IF(B252="","",IFERROR(RIGHT(B252,4)&amp;" T"&amp;ROUNDUP(VALUE(MID(B252,4,2))/3,0),""))</f>
        <v/>
      </c>
    </row>
    <row r="253">
      <c r="A253" s="10">
        <f>IF(B253="","",ROW()-5)</f>
        <v/>
      </c>
      <c r="B253" s="11" t="n"/>
      <c r="C253" s="11" t="n"/>
      <c r="D253" s="11" t="n"/>
      <c r="E253" s="12" t="n"/>
      <c r="F253" s="11" t="n"/>
      <c r="G253" s="11" t="n"/>
      <c r="H253" s="11" t="n"/>
      <c r="I253" s="11" t="n"/>
      <c r="J253" s="11">
        <f>IF(B253="","",IFERROR(RIGHT(B253,4)&amp;" T"&amp;ROUNDUP(VALUE(MID(B253,4,2))/3,0),""))</f>
        <v/>
      </c>
    </row>
    <row r="254">
      <c r="A254" s="10">
        <f>IF(B254="","",ROW()-5)</f>
        <v/>
      </c>
      <c r="B254" s="11" t="n"/>
      <c r="C254" s="11" t="n"/>
      <c r="D254" s="11" t="n"/>
      <c r="E254" s="12" t="n"/>
      <c r="F254" s="11" t="n"/>
      <c r="G254" s="11" t="n"/>
      <c r="H254" s="11" t="n"/>
      <c r="I254" s="11" t="n"/>
      <c r="J254" s="11">
        <f>IF(B254="","",IFERROR(RIGHT(B254,4)&amp;" T"&amp;ROUNDUP(VALUE(MID(B254,4,2))/3,0),""))</f>
        <v/>
      </c>
    </row>
    <row r="255">
      <c r="A255" s="10">
        <f>IF(B255="","",ROW()-5)</f>
        <v/>
      </c>
      <c r="B255" s="11" t="n"/>
      <c r="C255" s="11" t="n"/>
      <c r="D255" s="11" t="n"/>
      <c r="E255" s="12" t="n"/>
      <c r="F255" s="11" t="n"/>
      <c r="G255" s="11" t="n"/>
      <c r="H255" s="11" t="n"/>
      <c r="I255" s="11" t="n"/>
      <c r="J255" s="11">
        <f>IF(B255="","",IFERROR(RIGHT(B255,4)&amp;" T"&amp;ROUNDUP(VALUE(MID(B255,4,2))/3,0),""))</f>
        <v/>
      </c>
    </row>
    <row r="256">
      <c r="A256" s="10">
        <f>IF(B256="","",ROW()-5)</f>
        <v/>
      </c>
      <c r="B256" s="11" t="n"/>
      <c r="C256" s="11" t="n"/>
      <c r="D256" s="11" t="n"/>
      <c r="E256" s="12" t="n"/>
      <c r="F256" s="11" t="n"/>
      <c r="G256" s="11" t="n"/>
      <c r="H256" s="11" t="n"/>
      <c r="I256" s="11" t="n"/>
      <c r="J256" s="11">
        <f>IF(B256="","",IFERROR(RIGHT(B256,4)&amp;" T"&amp;ROUNDUP(VALUE(MID(B256,4,2))/3,0),""))</f>
        <v/>
      </c>
    </row>
    <row r="257">
      <c r="A257" s="10">
        <f>IF(B257="","",ROW()-5)</f>
        <v/>
      </c>
      <c r="B257" s="11" t="n"/>
      <c r="C257" s="11" t="n"/>
      <c r="D257" s="11" t="n"/>
      <c r="E257" s="12" t="n"/>
      <c r="F257" s="11" t="n"/>
      <c r="G257" s="11" t="n"/>
      <c r="H257" s="11" t="n"/>
      <c r="I257" s="11" t="n"/>
      <c r="J257" s="11">
        <f>IF(B257="","",IFERROR(RIGHT(B257,4)&amp;" T"&amp;ROUNDUP(VALUE(MID(B257,4,2))/3,0),""))</f>
        <v/>
      </c>
    </row>
    <row r="258">
      <c r="A258" s="10">
        <f>IF(B258="","",ROW()-5)</f>
        <v/>
      </c>
      <c r="B258" s="11" t="n"/>
      <c r="C258" s="11" t="n"/>
      <c r="D258" s="11" t="n"/>
      <c r="E258" s="12" t="n"/>
      <c r="F258" s="11" t="n"/>
      <c r="G258" s="11" t="n"/>
      <c r="H258" s="11" t="n"/>
      <c r="I258" s="11" t="n"/>
      <c r="J258" s="11">
        <f>IF(B258="","",IFERROR(RIGHT(B258,4)&amp;" T"&amp;ROUNDUP(VALUE(MID(B258,4,2))/3,0),""))</f>
        <v/>
      </c>
    </row>
    <row r="259">
      <c r="A259" s="10">
        <f>IF(B259="","",ROW()-5)</f>
        <v/>
      </c>
      <c r="B259" s="11" t="n"/>
      <c r="C259" s="11" t="n"/>
      <c r="D259" s="11" t="n"/>
      <c r="E259" s="12" t="n"/>
      <c r="F259" s="11" t="n"/>
      <c r="G259" s="11" t="n"/>
      <c r="H259" s="11" t="n"/>
      <c r="I259" s="11" t="n"/>
      <c r="J259" s="11">
        <f>IF(B259="","",IFERROR(RIGHT(B259,4)&amp;" T"&amp;ROUNDUP(VALUE(MID(B259,4,2))/3,0),""))</f>
        <v/>
      </c>
    </row>
    <row r="260">
      <c r="A260" s="10">
        <f>IF(B260="","",ROW()-5)</f>
        <v/>
      </c>
      <c r="B260" s="11" t="n"/>
      <c r="C260" s="11" t="n"/>
      <c r="D260" s="11" t="n"/>
      <c r="E260" s="12" t="n"/>
      <c r="F260" s="11" t="n"/>
      <c r="G260" s="11" t="n"/>
      <c r="H260" s="11" t="n"/>
      <c r="I260" s="11" t="n"/>
      <c r="J260" s="11">
        <f>IF(B260="","",IFERROR(RIGHT(B260,4)&amp;" T"&amp;ROUNDUP(VALUE(MID(B260,4,2))/3,0),""))</f>
        <v/>
      </c>
    </row>
    <row r="261">
      <c r="A261" s="10">
        <f>IF(B261="","",ROW()-5)</f>
        <v/>
      </c>
      <c r="B261" s="11" t="n"/>
      <c r="C261" s="11" t="n"/>
      <c r="D261" s="11" t="n"/>
      <c r="E261" s="12" t="n"/>
      <c r="F261" s="11" t="n"/>
      <c r="G261" s="11" t="n"/>
      <c r="H261" s="11" t="n"/>
      <c r="I261" s="11" t="n"/>
      <c r="J261" s="11">
        <f>IF(B261="","",IFERROR(RIGHT(B261,4)&amp;" T"&amp;ROUNDUP(VALUE(MID(B261,4,2))/3,0),""))</f>
        <v/>
      </c>
    </row>
    <row r="262">
      <c r="A262" s="10">
        <f>IF(B262="","",ROW()-5)</f>
        <v/>
      </c>
      <c r="B262" s="11" t="n"/>
      <c r="C262" s="11" t="n"/>
      <c r="D262" s="11" t="n"/>
      <c r="E262" s="12" t="n"/>
      <c r="F262" s="11" t="n"/>
      <c r="G262" s="11" t="n"/>
      <c r="H262" s="11" t="n"/>
      <c r="I262" s="11" t="n"/>
      <c r="J262" s="11">
        <f>IF(B262="","",IFERROR(RIGHT(B262,4)&amp;" T"&amp;ROUNDUP(VALUE(MID(B262,4,2))/3,0),""))</f>
        <v/>
      </c>
    </row>
    <row r="263">
      <c r="A263" s="10">
        <f>IF(B263="","",ROW()-5)</f>
        <v/>
      </c>
      <c r="B263" s="11" t="n"/>
      <c r="C263" s="11" t="n"/>
      <c r="D263" s="11" t="n"/>
      <c r="E263" s="12" t="n"/>
      <c r="F263" s="11" t="n"/>
      <c r="G263" s="11" t="n"/>
      <c r="H263" s="11" t="n"/>
      <c r="I263" s="11" t="n"/>
      <c r="J263" s="11">
        <f>IF(B263="","",IFERROR(RIGHT(B263,4)&amp;" T"&amp;ROUNDUP(VALUE(MID(B263,4,2))/3,0),""))</f>
        <v/>
      </c>
    </row>
    <row r="264">
      <c r="A264" s="10">
        <f>IF(B264="","",ROW()-5)</f>
        <v/>
      </c>
      <c r="B264" s="11" t="n"/>
      <c r="C264" s="11" t="n"/>
      <c r="D264" s="11" t="n"/>
      <c r="E264" s="12" t="n"/>
      <c r="F264" s="11" t="n"/>
      <c r="G264" s="11" t="n"/>
      <c r="H264" s="11" t="n"/>
      <c r="I264" s="11" t="n"/>
      <c r="J264" s="11">
        <f>IF(B264="","",IFERROR(RIGHT(B264,4)&amp;" T"&amp;ROUNDUP(VALUE(MID(B264,4,2))/3,0),""))</f>
        <v/>
      </c>
    </row>
    <row r="265">
      <c r="A265" s="10">
        <f>IF(B265="","",ROW()-5)</f>
        <v/>
      </c>
      <c r="B265" s="11" t="n"/>
      <c r="C265" s="11" t="n"/>
      <c r="D265" s="11" t="n"/>
      <c r="E265" s="12" t="n"/>
      <c r="F265" s="11" t="n"/>
      <c r="G265" s="11" t="n"/>
      <c r="H265" s="11" t="n"/>
      <c r="I265" s="11" t="n"/>
      <c r="J265" s="11">
        <f>IF(B265="","",IFERROR(RIGHT(B265,4)&amp;" T"&amp;ROUNDUP(VALUE(MID(B265,4,2))/3,0),""))</f>
        <v/>
      </c>
    </row>
    <row r="266">
      <c r="A266" s="10">
        <f>IF(B266="","",ROW()-5)</f>
        <v/>
      </c>
      <c r="B266" s="11" t="n"/>
      <c r="C266" s="11" t="n"/>
      <c r="D266" s="11" t="n"/>
      <c r="E266" s="12" t="n"/>
      <c r="F266" s="11" t="n"/>
      <c r="G266" s="11" t="n"/>
      <c r="H266" s="11" t="n"/>
      <c r="I266" s="11" t="n"/>
      <c r="J266" s="11">
        <f>IF(B266="","",IFERROR(RIGHT(B266,4)&amp;" T"&amp;ROUNDUP(VALUE(MID(B266,4,2))/3,0),""))</f>
        <v/>
      </c>
    </row>
    <row r="267">
      <c r="A267" s="10">
        <f>IF(B267="","",ROW()-5)</f>
        <v/>
      </c>
      <c r="B267" s="11" t="n"/>
      <c r="C267" s="11" t="n"/>
      <c r="D267" s="11" t="n"/>
      <c r="E267" s="12" t="n"/>
      <c r="F267" s="11" t="n"/>
      <c r="G267" s="11" t="n"/>
      <c r="H267" s="11" t="n"/>
      <c r="I267" s="11" t="n"/>
      <c r="J267" s="11">
        <f>IF(B267="","",IFERROR(RIGHT(B267,4)&amp;" T"&amp;ROUNDUP(VALUE(MID(B267,4,2))/3,0),""))</f>
        <v/>
      </c>
    </row>
    <row r="268">
      <c r="A268" s="10">
        <f>IF(B268="","",ROW()-5)</f>
        <v/>
      </c>
      <c r="B268" s="11" t="n"/>
      <c r="C268" s="11" t="n"/>
      <c r="D268" s="11" t="n"/>
      <c r="E268" s="12" t="n"/>
      <c r="F268" s="11" t="n"/>
      <c r="G268" s="11" t="n"/>
      <c r="H268" s="11" t="n"/>
      <c r="I268" s="11" t="n"/>
      <c r="J268" s="11">
        <f>IF(B268="","",IFERROR(RIGHT(B268,4)&amp;" T"&amp;ROUNDUP(VALUE(MID(B268,4,2))/3,0),""))</f>
        <v/>
      </c>
    </row>
    <row r="269">
      <c r="A269" s="10">
        <f>IF(B269="","",ROW()-5)</f>
        <v/>
      </c>
      <c r="B269" s="11" t="n"/>
      <c r="C269" s="11" t="n"/>
      <c r="D269" s="11" t="n"/>
      <c r="E269" s="12" t="n"/>
      <c r="F269" s="11" t="n"/>
      <c r="G269" s="11" t="n"/>
      <c r="H269" s="11" t="n"/>
      <c r="I269" s="11" t="n"/>
      <c r="J269" s="11">
        <f>IF(B269="","",IFERROR(RIGHT(B269,4)&amp;" T"&amp;ROUNDUP(VALUE(MID(B269,4,2))/3,0),""))</f>
        <v/>
      </c>
    </row>
    <row r="270">
      <c r="A270" s="10">
        <f>IF(B270="","",ROW()-5)</f>
        <v/>
      </c>
      <c r="B270" s="11" t="n"/>
      <c r="C270" s="11" t="n"/>
      <c r="D270" s="11" t="n"/>
      <c r="E270" s="12" t="n"/>
      <c r="F270" s="11" t="n"/>
      <c r="G270" s="11" t="n"/>
      <c r="H270" s="11" t="n"/>
      <c r="I270" s="11" t="n"/>
      <c r="J270" s="11">
        <f>IF(B270="","",IFERROR(RIGHT(B270,4)&amp;" T"&amp;ROUNDUP(VALUE(MID(B270,4,2))/3,0),""))</f>
        <v/>
      </c>
    </row>
    <row r="271">
      <c r="A271" s="10">
        <f>IF(B271="","",ROW()-5)</f>
        <v/>
      </c>
      <c r="B271" s="11" t="n"/>
      <c r="C271" s="11" t="n"/>
      <c r="D271" s="11" t="n"/>
      <c r="E271" s="12" t="n"/>
      <c r="F271" s="11" t="n"/>
      <c r="G271" s="11" t="n"/>
      <c r="H271" s="11" t="n"/>
      <c r="I271" s="11" t="n"/>
      <c r="J271" s="11">
        <f>IF(B271="","",IFERROR(RIGHT(B271,4)&amp;" T"&amp;ROUNDUP(VALUE(MID(B271,4,2))/3,0),""))</f>
        <v/>
      </c>
    </row>
    <row r="272">
      <c r="A272" s="10">
        <f>IF(B272="","",ROW()-5)</f>
        <v/>
      </c>
      <c r="B272" s="11" t="n"/>
      <c r="C272" s="11" t="n"/>
      <c r="D272" s="11" t="n"/>
      <c r="E272" s="12" t="n"/>
      <c r="F272" s="11" t="n"/>
      <c r="G272" s="11" t="n"/>
      <c r="H272" s="11" t="n"/>
      <c r="I272" s="11" t="n"/>
      <c r="J272" s="11">
        <f>IF(B272="","",IFERROR(RIGHT(B272,4)&amp;" T"&amp;ROUNDUP(VALUE(MID(B272,4,2))/3,0),""))</f>
        <v/>
      </c>
    </row>
    <row r="273">
      <c r="A273" s="10">
        <f>IF(B273="","",ROW()-5)</f>
        <v/>
      </c>
      <c r="B273" s="11" t="n"/>
      <c r="C273" s="11" t="n"/>
      <c r="D273" s="11" t="n"/>
      <c r="E273" s="12" t="n"/>
      <c r="F273" s="11" t="n"/>
      <c r="G273" s="11" t="n"/>
      <c r="H273" s="11" t="n"/>
      <c r="I273" s="11" t="n"/>
      <c r="J273" s="11">
        <f>IF(B273="","",IFERROR(RIGHT(B273,4)&amp;" T"&amp;ROUNDUP(VALUE(MID(B273,4,2))/3,0),""))</f>
        <v/>
      </c>
    </row>
    <row r="274">
      <c r="A274" s="10">
        <f>IF(B274="","",ROW()-5)</f>
        <v/>
      </c>
      <c r="B274" s="11" t="n"/>
      <c r="C274" s="11" t="n"/>
      <c r="D274" s="11" t="n"/>
      <c r="E274" s="12" t="n"/>
      <c r="F274" s="11" t="n"/>
      <c r="G274" s="11" t="n"/>
      <c r="H274" s="11" t="n"/>
      <c r="I274" s="11" t="n"/>
      <c r="J274" s="11">
        <f>IF(B274="","",IFERROR(RIGHT(B274,4)&amp;" T"&amp;ROUNDUP(VALUE(MID(B274,4,2))/3,0),""))</f>
        <v/>
      </c>
    </row>
    <row r="275">
      <c r="A275" s="10">
        <f>IF(B275="","",ROW()-5)</f>
        <v/>
      </c>
      <c r="B275" s="11" t="n"/>
      <c r="C275" s="11" t="n"/>
      <c r="D275" s="11" t="n"/>
      <c r="E275" s="12" t="n"/>
      <c r="F275" s="11" t="n"/>
      <c r="G275" s="11" t="n"/>
      <c r="H275" s="11" t="n"/>
      <c r="I275" s="11" t="n"/>
      <c r="J275" s="11">
        <f>IF(B275="","",IFERROR(RIGHT(B275,4)&amp;" T"&amp;ROUNDUP(VALUE(MID(B275,4,2))/3,0),""))</f>
        <v/>
      </c>
    </row>
    <row r="276">
      <c r="A276" s="10">
        <f>IF(B276="","",ROW()-5)</f>
        <v/>
      </c>
      <c r="B276" s="11" t="n"/>
      <c r="C276" s="11" t="n"/>
      <c r="D276" s="11" t="n"/>
      <c r="E276" s="12" t="n"/>
      <c r="F276" s="11" t="n"/>
      <c r="G276" s="11" t="n"/>
      <c r="H276" s="11" t="n"/>
      <c r="I276" s="11" t="n"/>
      <c r="J276" s="11">
        <f>IF(B276="","",IFERROR(RIGHT(B276,4)&amp;" T"&amp;ROUNDUP(VALUE(MID(B276,4,2))/3,0),""))</f>
        <v/>
      </c>
    </row>
    <row r="277">
      <c r="A277" s="10">
        <f>IF(B277="","",ROW()-5)</f>
        <v/>
      </c>
      <c r="B277" s="11" t="n"/>
      <c r="C277" s="11" t="n"/>
      <c r="D277" s="11" t="n"/>
      <c r="E277" s="12" t="n"/>
      <c r="F277" s="11" t="n"/>
      <c r="G277" s="11" t="n"/>
      <c r="H277" s="11" t="n"/>
      <c r="I277" s="11" t="n"/>
      <c r="J277" s="11">
        <f>IF(B277="","",IFERROR(RIGHT(B277,4)&amp;" T"&amp;ROUNDUP(VALUE(MID(B277,4,2))/3,0),""))</f>
        <v/>
      </c>
    </row>
    <row r="278">
      <c r="A278" s="10">
        <f>IF(B278="","",ROW()-5)</f>
        <v/>
      </c>
      <c r="B278" s="11" t="n"/>
      <c r="C278" s="11" t="n"/>
      <c r="D278" s="11" t="n"/>
      <c r="E278" s="12" t="n"/>
      <c r="F278" s="11" t="n"/>
      <c r="G278" s="11" t="n"/>
      <c r="H278" s="11" t="n"/>
      <c r="I278" s="11" t="n"/>
      <c r="J278" s="11">
        <f>IF(B278="","",IFERROR(RIGHT(B278,4)&amp;" T"&amp;ROUNDUP(VALUE(MID(B278,4,2))/3,0),""))</f>
        <v/>
      </c>
    </row>
    <row r="279">
      <c r="A279" s="10">
        <f>IF(B279="","",ROW()-5)</f>
        <v/>
      </c>
      <c r="B279" s="11" t="n"/>
      <c r="C279" s="11" t="n"/>
      <c r="D279" s="11" t="n"/>
      <c r="E279" s="12" t="n"/>
      <c r="F279" s="11" t="n"/>
      <c r="G279" s="11" t="n"/>
      <c r="H279" s="11" t="n"/>
      <c r="I279" s="11" t="n"/>
      <c r="J279" s="11">
        <f>IF(B279="","",IFERROR(RIGHT(B279,4)&amp;" T"&amp;ROUNDUP(VALUE(MID(B279,4,2))/3,0),""))</f>
        <v/>
      </c>
    </row>
    <row r="280">
      <c r="A280" s="10">
        <f>IF(B280="","",ROW()-5)</f>
        <v/>
      </c>
      <c r="B280" s="11" t="n"/>
      <c r="C280" s="11" t="n"/>
      <c r="D280" s="11" t="n"/>
      <c r="E280" s="12" t="n"/>
      <c r="F280" s="11" t="n"/>
      <c r="G280" s="11" t="n"/>
      <c r="H280" s="11" t="n"/>
      <c r="I280" s="11" t="n"/>
      <c r="J280" s="11">
        <f>IF(B280="","",IFERROR(RIGHT(B280,4)&amp;" T"&amp;ROUNDUP(VALUE(MID(B280,4,2))/3,0),""))</f>
        <v/>
      </c>
    </row>
    <row r="281">
      <c r="A281" s="10">
        <f>IF(B281="","",ROW()-5)</f>
        <v/>
      </c>
      <c r="B281" s="11" t="n"/>
      <c r="C281" s="11" t="n"/>
      <c r="D281" s="11" t="n"/>
      <c r="E281" s="12" t="n"/>
      <c r="F281" s="11" t="n"/>
      <c r="G281" s="11" t="n"/>
      <c r="H281" s="11" t="n"/>
      <c r="I281" s="11" t="n"/>
      <c r="J281" s="11">
        <f>IF(B281="","",IFERROR(RIGHT(B281,4)&amp;" T"&amp;ROUNDUP(VALUE(MID(B281,4,2))/3,0),""))</f>
        <v/>
      </c>
    </row>
    <row r="282">
      <c r="A282" s="10">
        <f>IF(B282="","",ROW()-5)</f>
        <v/>
      </c>
      <c r="B282" s="11" t="n"/>
      <c r="C282" s="11" t="n"/>
      <c r="D282" s="11" t="n"/>
      <c r="E282" s="12" t="n"/>
      <c r="F282" s="11" t="n"/>
      <c r="G282" s="11" t="n"/>
      <c r="H282" s="11" t="n"/>
      <c r="I282" s="11" t="n"/>
      <c r="J282" s="11">
        <f>IF(B282="","",IFERROR(RIGHT(B282,4)&amp;" T"&amp;ROUNDUP(VALUE(MID(B282,4,2))/3,0),""))</f>
        <v/>
      </c>
    </row>
    <row r="283">
      <c r="A283" s="10">
        <f>IF(B283="","",ROW()-5)</f>
        <v/>
      </c>
      <c r="B283" s="11" t="n"/>
      <c r="C283" s="11" t="n"/>
      <c r="D283" s="11" t="n"/>
      <c r="E283" s="12" t="n"/>
      <c r="F283" s="11" t="n"/>
      <c r="G283" s="11" t="n"/>
      <c r="H283" s="11" t="n"/>
      <c r="I283" s="11" t="n"/>
      <c r="J283" s="11">
        <f>IF(B283="","",IFERROR(RIGHT(B283,4)&amp;" T"&amp;ROUNDUP(VALUE(MID(B283,4,2))/3,0),""))</f>
        <v/>
      </c>
    </row>
    <row r="284">
      <c r="A284" s="10">
        <f>IF(B284="","",ROW()-5)</f>
        <v/>
      </c>
      <c r="B284" s="11" t="n"/>
      <c r="C284" s="11" t="n"/>
      <c r="D284" s="11" t="n"/>
      <c r="E284" s="12" t="n"/>
      <c r="F284" s="11" t="n"/>
      <c r="G284" s="11" t="n"/>
      <c r="H284" s="11" t="n"/>
      <c r="I284" s="11" t="n"/>
      <c r="J284" s="11">
        <f>IF(B284="","",IFERROR(RIGHT(B284,4)&amp;" T"&amp;ROUNDUP(VALUE(MID(B284,4,2))/3,0),""))</f>
        <v/>
      </c>
    </row>
    <row r="285">
      <c r="A285" s="10">
        <f>IF(B285="","",ROW()-5)</f>
        <v/>
      </c>
      <c r="B285" s="11" t="n"/>
      <c r="C285" s="11" t="n"/>
      <c r="D285" s="11" t="n"/>
      <c r="E285" s="12" t="n"/>
      <c r="F285" s="11" t="n"/>
      <c r="G285" s="11" t="n"/>
      <c r="H285" s="11" t="n"/>
      <c r="I285" s="11" t="n"/>
      <c r="J285" s="11">
        <f>IF(B285="","",IFERROR(RIGHT(B285,4)&amp;" T"&amp;ROUNDUP(VALUE(MID(B285,4,2))/3,0),""))</f>
        <v/>
      </c>
    </row>
    <row r="286">
      <c r="A286" s="10">
        <f>IF(B286="","",ROW()-5)</f>
        <v/>
      </c>
      <c r="B286" s="11" t="n"/>
      <c r="C286" s="11" t="n"/>
      <c r="D286" s="11" t="n"/>
      <c r="E286" s="12" t="n"/>
      <c r="F286" s="11" t="n"/>
      <c r="G286" s="11" t="n"/>
      <c r="H286" s="11" t="n"/>
      <c r="I286" s="11" t="n"/>
      <c r="J286" s="11">
        <f>IF(B286="","",IFERROR(RIGHT(B286,4)&amp;" T"&amp;ROUNDUP(VALUE(MID(B286,4,2))/3,0),""))</f>
        <v/>
      </c>
    </row>
    <row r="287">
      <c r="A287" s="10">
        <f>IF(B287="","",ROW()-5)</f>
        <v/>
      </c>
      <c r="B287" s="11" t="n"/>
      <c r="C287" s="11" t="n"/>
      <c r="D287" s="11" t="n"/>
      <c r="E287" s="12" t="n"/>
      <c r="F287" s="11" t="n"/>
      <c r="G287" s="11" t="n"/>
      <c r="H287" s="11" t="n"/>
      <c r="I287" s="11" t="n"/>
      <c r="J287" s="11">
        <f>IF(B287="","",IFERROR(RIGHT(B287,4)&amp;" T"&amp;ROUNDUP(VALUE(MID(B287,4,2))/3,0),""))</f>
        <v/>
      </c>
    </row>
    <row r="288">
      <c r="A288" s="10">
        <f>IF(B288="","",ROW()-5)</f>
        <v/>
      </c>
      <c r="B288" s="11" t="n"/>
      <c r="C288" s="11" t="n"/>
      <c r="D288" s="11" t="n"/>
      <c r="E288" s="12" t="n"/>
      <c r="F288" s="11" t="n"/>
      <c r="G288" s="11" t="n"/>
      <c r="H288" s="11" t="n"/>
      <c r="I288" s="11" t="n"/>
      <c r="J288" s="11">
        <f>IF(B288="","",IFERROR(RIGHT(B288,4)&amp;" T"&amp;ROUNDUP(VALUE(MID(B288,4,2))/3,0),""))</f>
        <v/>
      </c>
    </row>
    <row r="289">
      <c r="A289" s="10">
        <f>IF(B289="","",ROW()-5)</f>
        <v/>
      </c>
      <c r="B289" s="11" t="n"/>
      <c r="C289" s="11" t="n"/>
      <c r="D289" s="11" t="n"/>
      <c r="E289" s="12" t="n"/>
      <c r="F289" s="11" t="n"/>
      <c r="G289" s="11" t="n"/>
      <c r="H289" s="11" t="n"/>
      <c r="I289" s="11" t="n"/>
      <c r="J289" s="11">
        <f>IF(B289="","",IFERROR(RIGHT(B289,4)&amp;" T"&amp;ROUNDUP(VALUE(MID(B289,4,2))/3,0),""))</f>
        <v/>
      </c>
    </row>
    <row r="290">
      <c r="A290" s="10">
        <f>IF(B290="","",ROW()-5)</f>
        <v/>
      </c>
      <c r="B290" s="11" t="n"/>
      <c r="C290" s="11" t="n"/>
      <c r="D290" s="11" t="n"/>
      <c r="E290" s="12" t="n"/>
      <c r="F290" s="11" t="n"/>
      <c r="G290" s="11" t="n"/>
      <c r="H290" s="11" t="n"/>
      <c r="I290" s="11" t="n"/>
      <c r="J290" s="11">
        <f>IF(B290="","",IFERROR(RIGHT(B290,4)&amp;" T"&amp;ROUNDUP(VALUE(MID(B290,4,2))/3,0),""))</f>
        <v/>
      </c>
    </row>
    <row r="291">
      <c r="A291" s="10">
        <f>IF(B291="","",ROW()-5)</f>
        <v/>
      </c>
      <c r="B291" s="11" t="n"/>
      <c r="C291" s="11" t="n"/>
      <c r="D291" s="11" t="n"/>
      <c r="E291" s="12" t="n"/>
      <c r="F291" s="11" t="n"/>
      <c r="G291" s="11" t="n"/>
      <c r="H291" s="11" t="n"/>
      <c r="I291" s="11" t="n"/>
      <c r="J291" s="11">
        <f>IF(B291="","",IFERROR(RIGHT(B291,4)&amp;" T"&amp;ROUNDUP(VALUE(MID(B291,4,2))/3,0),""))</f>
        <v/>
      </c>
    </row>
    <row r="292">
      <c r="A292" s="10">
        <f>IF(B292="","",ROW()-5)</f>
        <v/>
      </c>
      <c r="B292" s="11" t="n"/>
      <c r="C292" s="11" t="n"/>
      <c r="D292" s="11" t="n"/>
      <c r="E292" s="12" t="n"/>
      <c r="F292" s="11" t="n"/>
      <c r="G292" s="11" t="n"/>
      <c r="H292" s="11" t="n"/>
      <c r="I292" s="11" t="n"/>
      <c r="J292" s="11">
        <f>IF(B292="","",IFERROR(RIGHT(B292,4)&amp;" T"&amp;ROUNDUP(VALUE(MID(B292,4,2))/3,0),""))</f>
        <v/>
      </c>
    </row>
    <row r="293">
      <c r="A293" s="10">
        <f>IF(B293="","",ROW()-5)</f>
        <v/>
      </c>
      <c r="B293" s="11" t="n"/>
      <c r="C293" s="11" t="n"/>
      <c r="D293" s="11" t="n"/>
      <c r="E293" s="12" t="n"/>
      <c r="F293" s="11" t="n"/>
      <c r="G293" s="11" t="n"/>
      <c r="H293" s="11" t="n"/>
      <c r="I293" s="11" t="n"/>
      <c r="J293" s="11">
        <f>IF(B293="","",IFERROR(RIGHT(B293,4)&amp;" T"&amp;ROUNDUP(VALUE(MID(B293,4,2))/3,0),""))</f>
        <v/>
      </c>
    </row>
    <row r="294">
      <c r="A294" s="10">
        <f>IF(B294="","",ROW()-5)</f>
        <v/>
      </c>
      <c r="B294" s="11" t="n"/>
      <c r="C294" s="11" t="n"/>
      <c r="D294" s="11" t="n"/>
      <c r="E294" s="12" t="n"/>
      <c r="F294" s="11" t="n"/>
      <c r="G294" s="11" t="n"/>
      <c r="H294" s="11" t="n"/>
      <c r="I294" s="11" t="n"/>
      <c r="J294" s="11">
        <f>IF(B294="","",IFERROR(RIGHT(B294,4)&amp;" T"&amp;ROUNDUP(VALUE(MID(B294,4,2))/3,0),""))</f>
        <v/>
      </c>
    </row>
    <row r="295">
      <c r="A295" s="10">
        <f>IF(B295="","",ROW()-5)</f>
        <v/>
      </c>
      <c r="B295" s="11" t="n"/>
      <c r="C295" s="11" t="n"/>
      <c r="D295" s="11" t="n"/>
      <c r="E295" s="12" t="n"/>
      <c r="F295" s="11" t="n"/>
      <c r="G295" s="11" t="n"/>
      <c r="H295" s="11" t="n"/>
      <c r="I295" s="11" t="n"/>
      <c r="J295" s="11">
        <f>IF(B295="","",IFERROR(RIGHT(B295,4)&amp;" T"&amp;ROUNDUP(VALUE(MID(B295,4,2))/3,0),""))</f>
        <v/>
      </c>
    </row>
    <row r="296">
      <c r="A296" s="10">
        <f>IF(B296="","",ROW()-5)</f>
        <v/>
      </c>
      <c r="B296" s="11" t="n"/>
      <c r="C296" s="11" t="n"/>
      <c r="D296" s="11" t="n"/>
      <c r="E296" s="12" t="n"/>
      <c r="F296" s="11" t="n"/>
      <c r="G296" s="11" t="n"/>
      <c r="H296" s="11" t="n"/>
      <c r="I296" s="11" t="n"/>
      <c r="J296" s="11">
        <f>IF(B296="","",IFERROR(RIGHT(B296,4)&amp;" T"&amp;ROUNDUP(VALUE(MID(B296,4,2))/3,0),""))</f>
        <v/>
      </c>
    </row>
    <row r="297">
      <c r="A297" s="10">
        <f>IF(B297="","",ROW()-5)</f>
        <v/>
      </c>
      <c r="B297" s="11" t="n"/>
      <c r="C297" s="11" t="n"/>
      <c r="D297" s="11" t="n"/>
      <c r="E297" s="12" t="n"/>
      <c r="F297" s="11" t="n"/>
      <c r="G297" s="11" t="n"/>
      <c r="H297" s="11" t="n"/>
      <c r="I297" s="11" t="n"/>
      <c r="J297" s="11">
        <f>IF(B297="","",IFERROR(RIGHT(B297,4)&amp;" T"&amp;ROUNDUP(VALUE(MID(B297,4,2))/3,0),""))</f>
        <v/>
      </c>
    </row>
    <row r="298">
      <c r="A298" s="10">
        <f>IF(B298="","",ROW()-5)</f>
        <v/>
      </c>
      <c r="B298" s="11" t="n"/>
      <c r="C298" s="11" t="n"/>
      <c r="D298" s="11" t="n"/>
      <c r="E298" s="12" t="n"/>
      <c r="F298" s="11" t="n"/>
      <c r="G298" s="11" t="n"/>
      <c r="H298" s="11" t="n"/>
      <c r="I298" s="11" t="n"/>
      <c r="J298" s="11">
        <f>IF(B298="","",IFERROR(RIGHT(B298,4)&amp;" T"&amp;ROUNDUP(VALUE(MID(B298,4,2))/3,0),""))</f>
        <v/>
      </c>
    </row>
    <row r="299">
      <c r="A299" s="10">
        <f>IF(B299="","",ROW()-5)</f>
        <v/>
      </c>
      <c r="B299" s="11" t="n"/>
      <c r="C299" s="11" t="n"/>
      <c r="D299" s="11" t="n"/>
      <c r="E299" s="12" t="n"/>
      <c r="F299" s="11" t="n"/>
      <c r="G299" s="11" t="n"/>
      <c r="H299" s="11" t="n"/>
      <c r="I299" s="11" t="n"/>
      <c r="J299" s="11">
        <f>IF(B299="","",IFERROR(RIGHT(B299,4)&amp;" T"&amp;ROUNDUP(VALUE(MID(B299,4,2))/3,0),""))</f>
        <v/>
      </c>
    </row>
    <row r="300">
      <c r="A300" s="10">
        <f>IF(B300="","",ROW()-5)</f>
        <v/>
      </c>
      <c r="B300" s="11" t="n"/>
      <c r="C300" s="11" t="n"/>
      <c r="D300" s="11" t="n"/>
      <c r="E300" s="12" t="n"/>
      <c r="F300" s="11" t="n"/>
      <c r="G300" s="11" t="n"/>
      <c r="H300" s="11" t="n"/>
      <c r="I300" s="11" t="n"/>
      <c r="J300" s="11">
        <f>IF(B300="","",IFERROR(RIGHT(B300,4)&amp;" T"&amp;ROUNDUP(VALUE(MID(B300,4,2))/3,0),""))</f>
        <v/>
      </c>
    </row>
    <row r="301">
      <c r="A301" s="10">
        <f>IF(B301="","",ROW()-5)</f>
        <v/>
      </c>
      <c r="B301" s="11" t="n"/>
      <c r="C301" s="11" t="n"/>
      <c r="D301" s="11" t="n"/>
      <c r="E301" s="12" t="n"/>
      <c r="F301" s="11" t="n"/>
      <c r="G301" s="11" t="n"/>
      <c r="H301" s="11" t="n"/>
      <c r="I301" s="11" t="n"/>
      <c r="J301" s="11">
        <f>IF(B301="","",IFERROR(RIGHT(B301,4)&amp;" T"&amp;ROUNDUP(VALUE(MID(B301,4,2))/3,0),""))</f>
        <v/>
      </c>
    </row>
    <row r="302">
      <c r="A302" s="10">
        <f>IF(B302="","",ROW()-5)</f>
        <v/>
      </c>
      <c r="B302" s="11" t="n"/>
      <c r="C302" s="11" t="n"/>
      <c r="D302" s="11" t="n"/>
      <c r="E302" s="12" t="n"/>
      <c r="F302" s="11" t="n"/>
      <c r="G302" s="11" t="n"/>
      <c r="H302" s="11" t="n"/>
      <c r="I302" s="11" t="n"/>
      <c r="J302" s="11">
        <f>IF(B302="","",IFERROR(RIGHT(B302,4)&amp;" T"&amp;ROUNDUP(VALUE(MID(B302,4,2))/3,0),""))</f>
        <v/>
      </c>
    </row>
    <row r="303">
      <c r="A303" s="10">
        <f>IF(B303="","",ROW()-5)</f>
        <v/>
      </c>
      <c r="B303" s="11" t="n"/>
      <c r="C303" s="11" t="n"/>
      <c r="D303" s="11" t="n"/>
      <c r="E303" s="12" t="n"/>
      <c r="F303" s="11" t="n"/>
      <c r="G303" s="11" t="n"/>
      <c r="H303" s="11" t="n"/>
      <c r="I303" s="11" t="n"/>
      <c r="J303" s="11">
        <f>IF(B303="","",IFERROR(RIGHT(B303,4)&amp;" T"&amp;ROUNDUP(VALUE(MID(B303,4,2))/3,0),""))</f>
        <v/>
      </c>
    </row>
    <row r="304">
      <c r="A304" s="10">
        <f>IF(B304="","",ROW()-5)</f>
        <v/>
      </c>
      <c r="B304" s="11" t="n"/>
      <c r="C304" s="11" t="n"/>
      <c r="D304" s="11" t="n"/>
      <c r="E304" s="12" t="n"/>
      <c r="F304" s="11" t="n"/>
      <c r="G304" s="11" t="n"/>
      <c r="H304" s="11" t="n"/>
      <c r="I304" s="11" t="n"/>
      <c r="J304" s="11">
        <f>IF(B304="","",IFERROR(RIGHT(B304,4)&amp;" T"&amp;ROUNDUP(VALUE(MID(B304,4,2))/3,0),""))</f>
        <v/>
      </c>
    </row>
    <row r="305">
      <c r="A305" s="10">
        <f>IF(B305="","",ROW()-5)</f>
        <v/>
      </c>
      <c r="B305" s="11" t="n"/>
      <c r="C305" s="11" t="n"/>
      <c r="D305" s="11" t="n"/>
      <c r="E305" s="12" t="n"/>
      <c r="F305" s="11" t="n"/>
      <c r="G305" s="11" t="n"/>
      <c r="H305" s="11" t="n"/>
      <c r="I305" s="11" t="n"/>
      <c r="J305" s="11">
        <f>IF(B305="","",IFERROR(RIGHT(B305,4)&amp;" T"&amp;ROUNDUP(VALUE(MID(B305,4,2))/3,0),""))</f>
        <v/>
      </c>
    </row>
    <row r="306">
      <c r="A306" s="10">
        <f>IF(B306="","",ROW()-5)</f>
        <v/>
      </c>
      <c r="B306" s="11" t="n"/>
      <c r="C306" s="11" t="n"/>
      <c r="D306" s="11" t="n"/>
      <c r="E306" s="12" t="n"/>
      <c r="F306" s="11" t="n"/>
      <c r="G306" s="11" t="n"/>
      <c r="H306" s="11" t="n"/>
      <c r="I306" s="11" t="n"/>
      <c r="J306" s="11">
        <f>IF(B306="","",IFERROR(RIGHT(B306,4)&amp;" T"&amp;ROUNDUP(VALUE(MID(B306,4,2))/3,0),""))</f>
        <v/>
      </c>
    </row>
    <row r="307">
      <c r="A307" s="10">
        <f>IF(B307="","",ROW()-5)</f>
        <v/>
      </c>
      <c r="B307" s="11" t="n"/>
      <c r="C307" s="11" t="n"/>
      <c r="D307" s="11" t="n"/>
      <c r="E307" s="12" t="n"/>
      <c r="F307" s="11" t="n"/>
      <c r="G307" s="11" t="n"/>
      <c r="H307" s="11" t="n"/>
      <c r="I307" s="11" t="n"/>
      <c r="J307" s="11">
        <f>IF(B307="","",IFERROR(RIGHT(B307,4)&amp;" T"&amp;ROUNDUP(VALUE(MID(B307,4,2))/3,0),""))</f>
        <v/>
      </c>
    </row>
    <row r="308">
      <c r="A308" s="10">
        <f>IF(B308="","",ROW()-5)</f>
        <v/>
      </c>
      <c r="B308" s="11" t="n"/>
      <c r="C308" s="11" t="n"/>
      <c r="D308" s="11" t="n"/>
      <c r="E308" s="12" t="n"/>
      <c r="F308" s="11" t="n"/>
      <c r="G308" s="11" t="n"/>
      <c r="H308" s="11" t="n"/>
      <c r="I308" s="11" t="n"/>
      <c r="J308" s="11">
        <f>IF(B308="","",IFERROR(RIGHT(B308,4)&amp;" T"&amp;ROUNDUP(VALUE(MID(B308,4,2))/3,0),""))</f>
        <v/>
      </c>
    </row>
    <row r="309">
      <c r="A309" s="10">
        <f>IF(B309="","",ROW()-5)</f>
        <v/>
      </c>
      <c r="B309" s="11" t="n"/>
      <c r="C309" s="11" t="n"/>
      <c r="D309" s="11" t="n"/>
      <c r="E309" s="12" t="n"/>
      <c r="F309" s="11" t="n"/>
      <c r="G309" s="11" t="n"/>
      <c r="H309" s="11" t="n"/>
      <c r="I309" s="11" t="n"/>
      <c r="J309" s="11">
        <f>IF(B309="","",IFERROR(RIGHT(B309,4)&amp;" T"&amp;ROUNDUP(VALUE(MID(B309,4,2))/3,0),""))</f>
        <v/>
      </c>
    </row>
    <row r="310">
      <c r="A310" s="10">
        <f>IF(B310="","",ROW()-5)</f>
        <v/>
      </c>
      <c r="B310" s="11" t="n"/>
      <c r="C310" s="11" t="n"/>
      <c r="D310" s="11" t="n"/>
      <c r="E310" s="12" t="n"/>
      <c r="F310" s="11" t="n"/>
      <c r="G310" s="11" t="n"/>
      <c r="H310" s="11" t="n"/>
      <c r="I310" s="11" t="n"/>
      <c r="J310" s="11">
        <f>IF(B310="","",IFERROR(RIGHT(B310,4)&amp;" T"&amp;ROUNDUP(VALUE(MID(B310,4,2))/3,0),""))</f>
        <v/>
      </c>
    </row>
    <row r="311">
      <c r="A311" s="10">
        <f>IF(B311="","",ROW()-5)</f>
        <v/>
      </c>
      <c r="B311" s="11" t="n"/>
      <c r="C311" s="11" t="n"/>
      <c r="D311" s="11" t="n"/>
      <c r="E311" s="12" t="n"/>
      <c r="F311" s="11" t="n"/>
      <c r="G311" s="11" t="n"/>
      <c r="H311" s="11" t="n"/>
      <c r="I311" s="11" t="n"/>
      <c r="J311" s="11">
        <f>IF(B311="","",IFERROR(RIGHT(B311,4)&amp;" T"&amp;ROUNDUP(VALUE(MID(B311,4,2))/3,0),""))</f>
        <v/>
      </c>
    </row>
  </sheetData>
  <autoFilter ref="A5:J311"/>
  <dataValidations count="1">
    <dataValidation sqref="I6:I311" showDropDown="0" showInputMessage="0" showErrorMessage="0" allowBlank="1" type="list">
      <formula1>"Achat-revente,Prestation de services,Convoyage automobile"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22" customWidth="1" min="3" max="3"/>
    <col width="18" customWidth="1" min="4" max="4"/>
    <col width="15" customWidth="1" min="5" max="5"/>
    <col width="18" customWidth="1" min="6" max="6"/>
    <col width="15" customWidth="1" min="7" max="7"/>
    <col width="15" customWidth="1" min="8" max="8"/>
    <col width="18" customWidth="1" min="9" max="9"/>
    <col width="16" customWidth="1" min="10" max="10"/>
    <col width="50" customWidth="1" min="11" max="11"/>
  </cols>
  <sheetData>
    <row r="1">
      <c r="A1" s="1" t="inlineStr">
        <is>
          <t>Chiffre d'affaires par trimestre — calculé depuis le livre des recettes</t>
        </is>
      </c>
    </row>
    <row r="2">
      <c r="A2" s="5" t="inlineStr">
        <is>
          <t>Montants encaissés, par date d'encaissement. URSSAF : 12,4 % achat-revente, 21,3 % prestations et convoyage (taux à confirmer). Livraisons Uber : URSSAF prélevée par Uber à partir de 2026 T4.</t>
        </is>
      </c>
    </row>
    <row r="4">
      <c r="A4" s="7" t="inlineStr">
        <is>
          <t>Année</t>
        </is>
      </c>
      <c r="B4" s="7" t="inlineStr">
        <is>
          <t>Trimestre</t>
        </is>
      </c>
      <c r="C4" s="7" t="inlineStr">
        <is>
          <t>Période</t>
        </is>
      </c>
      <c r="D4" s="7" t="inlineStr">
        <is>
          <t>Déclaration avant le</t>
        </is>
      </c>
      <c r="E4" s="7" t="inlineStr">
        <is>
          <t>Achat-revente</t>
        </is>
      </c>
      <c r="F4" s="7" t="inlineStr">
        <is>
          <t>Prestation de services (Uber)</t>
        </is>
      </c>
      <c r="G4" s="7" t="inlineStr">
        <is>
          <t>Convoyage automobile</t>
        </is>
      </c>
      <c r="H4" s="7" t="inlineStr">
        <is>
          <t>Total encaissé</t>
        </is>
      </c>
      <c r="I4" s="7" t="inlineStr">
        <is>
          <t>URSSAF à payer (estimation)</t>
        </is>
      </c>
      <c r="J4" s="7" t="inlineStr">
        <is>
          <t>URSSAF réellement payée</t>
        </is>
      </c>
      <c r="K4" s="7" t="inlineStr">
        <is>
          <t>Observations</t>
        </is>
      </c>
    </row>
    <row r="5">
      <c r="A5" t="n">
        <v>2026</v>
      </c>
      <c r="B5" t="inlineStr">
        <is>
          <t>T3</t>
        </is>
      </c>
      <c r="C5" t="inlineStr">
        <is>
          <t>juillet – septembre</t>
        </is>
      </c>
      <c r="D5" t="inlineStr">
        <is>
          <t>31 octobre 2026</t>
        </is>
      </c>
      <c r="E5" s="19">
        <f>SUMIFS('Livre des recettes'!$E$6:$E$311,'Livre des recettes'!$I$6:$I$311,"Achat-revente",'Livre des recettes'!$J$6:$J$311,"2026 T3")</f>
        <v/>
      </c>
      <c r="F5" s="19">
        <f>SUMIFS('Livre des recettes'!$E$6:$E$311,'Livre des recettes'!$I$6:$I$311,"Prestation de services",'Livre des recettes'!$J$6:$J$311,"2026 T3")</f>
        <v/>
      </c>
      <c r="G5" s="19">
        <f>SUMIFS('Livre des recettes'!$E$6:$E$311,'Livre des recettes'!$I$6:$I$311,"Convoyage automobile",'Livre des recettes'!$J$6:$J$311,"2026 T3")</f>
        <v/>
      </c>
      <c r="H5" s="19">
        <f>E5+F5+G5</f>
        <v/>
      </c>
      <c r="I5" s="19">
        <f>ROUND(E5*0.124+G5*0.213+F5*0.213,2)</f>
        <v/>
      </c>
      <c r="J5" s="19" t="n">
        <v>81</v>
      </c>
      <c r="K5" t="inlineStr">
        <is>
          <t>Déclaré et payé : 627 € (587 € revente + 40 € Uber).</t>
        </is>
      </c>
    </row>
    <row r="6">
      <c r="A6" t="n">
        <v>2026</v>
      </c>
      <c r="B6" t="inlineStr">
        <is>
          <t>T4</t>
        </is>
      </c>
      <c r="C6" t="inlineStr">
        <is>
          <t>octobre – décembre</t>
        </is>
      </c>
      <c r="D6" t="inlineStr">
        <is>
          <t>31 janvier 2027</t>
        </is>
      </c>
      <c r="E6" s="19">
        <f>SUMIFS('Livre des recettes'!$E$6:$E$311,'Livre des recettes'!$I$6:$I$311,"Achat-revente",'Livre des recettes'!$J$6:$J$311,"2026 T4")</f>
        <v/>
      </c>
      <c r="F6" s="19">
        <f>SUMIFS('Livre des recettes'!$E$6:$E$311,'Livre des recettes'!$I$6:$I$311,"Prestation de services",'Livre des recettes'!$J$6:$J$311,"2026 T4")</f>
        <v/>
      </c>
      <c r="G6" s="19">
        <f>SUMIFS('Livre des recettes'!$E$6:$E$311,'Livre des recettes'!$I$6:$I$311,"Convoyage automobile",'Livre des recettes'!$J$6:$J$311,"2026 T4")</f>
        <v/>
      </c>
      <c r="H6" s="19">
        <f>E6+F6+G6</f>
        <v/>
      </c>
      <c r="I6" s="19">
        <f>ROUND(E6*0.124+G6*0.213,2)</f>
        <v/>
      </c>
      <c r="J6" s="19" t="n"/>
      <c r="K6" t="inlineStr">
        <is>
          <t>En cours. Ballerines Massimo Dutti (50 €) en attente du virement Vinted.</t>
        </is>
      </c>
    </row>
    <row r="7">
      <c r="A7" s="20" t="n">
        <v>2026</v>
      </c>
      <c r="B7" s="20" t="n"/>
      <c r="C7" s="20" t="inlineStr">
        <is>
          <t>Total 2026</t>
        </is>
      </c>
      <c r="D7" s="20" t="n"/>
      <c r="E7" s="21">
        <f>SUM(E5:E6)</f>
        <v/>
      </c>
      <c r="F7" s="21">
        <f>SUM(F5:F6)</f>
        <v/>
      </c>
      <c r="G7" s="21">
        <f>SUM(G5:G6)</f>
        <v/>
      </c>
      <c r="H7" s="21">
        <f>SUM(H5:H6)</f>
        <v/>
      </c>
      <c r="I7" s="21">
        <f>SUM(I5:I6)</f>
        <v/>
      </c>
      <c r="J7" s="21">
        <f>SUM(J5:J6)</f>
        <v/>
      </c>
      <c r="K7" s="20" t="n"/>
    </row>
    <row r="9">
      <c r="A9" t="n">
        <v>2027</v>
      </c>
      <c r="B9" t="inlineStr">
        <is>
          <t>T1</t>
        </is>
      </c>
      <c r="C9" t="inlineStr">
        <is>
          <t>janvier – mars</t>
        </is>
      </c>
      <c r="D9" t="inlineStr">
        <is>
          <t>30 avril 2027</t>
        </is>
      </c>
      <c r="E9" s="19">
        <f>SUMIFS('Livre des recettes'!$E$6:$E$311,'Livre des recettes'!$I$6:$I$311,"Achat-revente",'Livre des recettes'!$J$6:$J$311,"2027 T1")</f>
        <v/>
      </c>
      <c r="F9" s="19">
        <f>SUMIFS('Livre des recettes'!$E$6:$E$311,'Livre des recettes'!$I$6:$I$311,"Prestation de services",'Livre des recettes'!$J$6:$J$311,"2027 T1")</f>
        <v/>
      </c>
      <c r="G9" s="19">
        <f>SUMIFS('Livre des recettes'!$E$6:$E$311,'Livre des recettes'!$I$6:$I$311,"Convoyage automobile",'Livre des recettes'!$J$6:$J$311,"2027 T1")</f>
        <v/>
      </c>
      <c r="H9" s="19">
        <f>E9+F9+G9</f>
        <v/>
      </c>
      <c r="I9" s="19">
        <f>ROUND(E9*0.124+G9*0.213,2)</f>
        <v/>
      </c>
      <c r="J9" s="19" t="n"/>
    </row>
    <row r="10">
      <c r="A10" t="n">
        <v>2027</v>
      </c>
      <c r="B10" t="inlineStr">
        <is>
          <t>T2</t>
        </is>
      </c>
      <c r="C10" t="inlineStr">
        <is>
          <t>avril – juin</t>
        </is>
      </c>
      <c r="D10" t="inlineStr">
        <is>
          <t>31 juillet 2027</t>
        </is>
      </c>
      <c r="E10" s="19">
        <f>SUMIFS('Livre des recettes'!$E$6:$E$311,'Livre des recettes'!$I$6:$I$311,"Achat-revente",'Livre des recettes'!$J$6:$J$311,"2027 T2")</f>
        <v/>
      </c>
      <c r="F10" s="19">
        <f>SUMIFS('Livre des recettes'!$E$6:$E$311,'Livre des recettes'!$I$6:$I$311,"Prestation de services",'Livre des recettes'!$J$6:$J$311,"2027 T2")</f>
        <v/>
      </c>
      <c r="G10" s="19">
        <f>SUMIFS('Livre des recettes'!$E$6:$E$311,'Livre des recettes'!$I$6:$I$311,"Convoyage automobile",'Livre des recettes'!$J$6:$J$311,"2027 T2")</f>
        <v/>
      </c>
      <c r="H10" s="19">
        <f>E10+F10+G10</f>
        <v/>
      </c>
      <c r="I10" s="19">
        <f>ROUND(E10*0.124+G10*0.213,2)</f>
        <v/>
      </c>
      <c r="J10" s="19" t="n"/>
    </row>
    <row r="11">
      <c r="A11" t="n">
        <v>2027</v>
      </c>
      <c r="B11" t="inlineStr">
        <is>
          <t>T3</t>
        </is>
      </c>
      <c r="C11" t="inlineStr">
        <is>
          <t>juillet – septembre</t>
        </is>
      </c>
      <c r="D11" t="inlineStr">
        <is>
          <t>31 octobre 2027</t>
        </is>
      </c>
      <c r="E11" s="19">
        <f>SUMIFS('Livre des recettes'!$E$6:$E$311,'Livre des recettes'!$I$6:$I$311,"Achat-revente",'Livre des recettes'!$J$6:$J$311,"2027 T3")</f>
        <v/>
      </c>
      <c r="F11" s="19">
        <f>SUMIFS('Livre des recettes'!$E$6:$E$311,'Livre des recettes'!$I$6:$I$311,"Prestation de services",'Livre des recettes'!$J$6:$J$311,"2027 T3")</f>
        <v/>
      </c>
      <c r="G11" s="19">
        <f>SUMIFS('Livre des recettes'!$E$6:$E$311,'Livre des recettes'!$I$6:$I$311,"Convoyage automobile",'Livre des recettes'!$J$6:$J$311,"2027 T3")</f>
        <v/>
      </c>
      <c r="H11" s="19">
        <f>E11+F11+G11</f>
        <v/>
      </c>
      <c r="I11" s="19">
        <f>ROUND(E11*0.124+G11*0.213,2)</f>
        <v/>
      </c>
      <c r="J11" s="19" t="n"/>
    </row>
    <row r="12">
      <c r="A12" t="n">
        <v>2027</v>
      </c>
      <c r="B12" t="inlineStr">
        <is>
          <t>T4</t>
        </is>
      </c>
      <c r="C12" t="inlineStr">
        <is>
          <t>octobre – décembre</t>
        </is>
      </c>
      <c r="D12" t="inlineStr">
        <is>
          <t>31 janvier 2028</t>
        </is>
      </c>
      <c r="E12" s="19">
        <f>SUMIFS('Livre des recettes'!$E$6:$E$311,'Livre des recettes'!$I$6:$I$311,"Achat-revente",'Livre des recettes'!$J$6:$J$311,"2027 T4")</f>
        <v/>
      </c>
      <c r="F12" s="19">
        <f>SUMIFS('Livre des recettes'!$E$6:$E$311,'Livre des recettes'!$I$6:$I$311,"Prestation de services",'Livre des recettes'!$J$6:$J$311,"2027 T4")</f>
        <v/>
      </c>
      <c r="G12" s="19">
        <f>SUMIFS('Livre des recettes'!$E$6:$E$311,'Livre des recettes'!$I$6:$I$311,"Convoyage automobile",'Livre des recettes'!$J$6:$J$311,"2027 T4")</f>
        <v/>
      </c>
      <c r="H12" s="19">
        <f>E12+F12+G12</f>
        <v/>
      </c>
      <c r="I12" s="19">
        <f>ROUND(E12*0.124+G12*0.213,2)</f>
        <v/>
      </c>
      <c r="J12" s="19" t="n"/>
    </row>
    <row r="13">
      <c r="A13" s="20" t="n">
        <v>2027</v>
      </c>
      <c r="B13" s="20" t="n"/>
      <c r="C13" s="20" t="inlineStr">
        <is>
          <t>Total 2027</t>
        </is>
      </c>
      <c r="D13" s="20" t="n"/>
      <c r="E13" s="21">
        <f>SUM(E9:E12)</f>
        <v/>
      </c>
      <c r="F13" s="21">
        <f>SUM(F9:F12)</f>
        <v/>
      </c>
      <c r="G13" s="21">
        <f>SUM(G9:G12)</f>
        <v/>
      </c>
      <c r="H13" s="21">
        <f>SUM(H9:H12)</f>
        <v/>
      </c>
      <c r="I13" s="21">
        <f>SUM(I9:I12)</f>
        <v/>
      </c>
      <c r="J13" s="21">
        <f>SUM(J9:J12)</f>
        <v/>
      </c>
      <c r="K13" s="20" t="n"/>
    </row>
    <row r="15">
      <c r="A15" t="n">
        <v>2028</v>
      </c>
      <c r="B15" t="inlineStr">
        <is>
          <t>T1</t>
        </is>
      </c>
      <c r="C15" t="inlineStr">
        <is>
          <t>janvier – mars</t>
        </is>
      </c>
      <c r="D15" t="inlineStr">
        <is>
          <t>30 avril 2028</t>
        </is>
      </c>
      <c r="E15" s="19">
        <f>SUMIFS('Livre des recettes'!$E$6:$E$311,'Livre des recettes'!$I$6:$I$311,"Achat-revente",'Livre des recettes'!$J$6:$J$311,"2028 T1")</f>
        <v/>
      </c>
      <c r="F15" s="19">
        <f>SUMIFS('Livre des recettes'!$E$6:$E$311,'Livre des recettes'!$I$6:$I$311,"Prestation de services",'Livre des recettes'!$J$6:$J$311,"2028 T1")</f>
        <v/>
      </c>
      <c r="G15" s="19">
        <f>SUMIFS('Livre des recettes'!$E$6:$E$311,'Livre des recettes'!$I$6:$I$311,"Convoyage automobile",'Livre des recettes'!$J$6:$J$311,"2028 T1")</f>
        <v/>
      </c>
      <c r="H15" s="19">
        <f>E15+F15+G15</f>
        <v/>
      </c>
      <c r="I15" s="19">
        <f>ROUND(E15*0.124+G15*0.213,2)</f>
        <v/>
      </c>
      <c r="J15" s="19" t="n"/>
    </row>
    <row r="16">
      <c r="A16" t="n">
        <v>2028</v>
      </c>
      <c r="B16" t="inlineStr">
        <is>
          <t>T2</t>
        </is>
      </c>
      <c r="C16" t="inlineStr">
        <is>
          <t>avril – juin</t>
        </is>
      </c>
      <c r="D16" t="inlineStr">
        <is>
          <t>31 juillet 2028</t>
        </is>
      </c>
      <c r="E16" s="19">
        <f>SUMIFS('Livre des recettes'!$E$6:$E$311,'Livre des recettes'!$I$6:$I$311,"Achat-revente",'Livre des recettes'!$J$6:$J$311,"2028 T2")</f>
        <v/>
      </c>
      <c r="F16" s="19">
        <f>SUMIFS('Livre des recettes'!$E$6:$E$311,'Livre des recettes'!$I$6:$I$311,"Prestation de services",'Livre des recettes'!$J$6:$J$311,"2028 T2")</f>
        <v/>
      </c>
      <c r="G16" s="19">
        <f>SUMIFS('Livre des recettes'!$E$6:$E$311,'Livre des recettes'!$I$6:$I$311,"Convoyage automobile",'Livre des recettes'!$J$6:$J$311,"2028 T2")</f>
        <v/>
      </c>
      <c r="H16" s="19">
        <f>E16+F16+G16</f>
        <v/>
      </c>
      <c r="I16" s="19">
        <f>ROUND(E16*0.124+G16*0.213,2)</f>
        <v/>
      </c>
      <c r="J16" s="19" t="n"/>
    </row>
    <row r="17">
      <c r="A17" t="n">
        <v>2028</v>
      </c>
      <c r="B17" t="inlineStr">
        <is>
          <t>T3</t>
        </is>
      </c>
      <c r="C17" t="inlineStr">
        <is>
          <t>juillet – septembre</t>
        </is>
      </c>
      <c r="D17" t="inlineStr">
        <is>
          <t>31 octobre 2028</t>
        </is>
      </c>
      <c r="E17" s="19">
        <f>SUMIFS('Livre des recettes'!$E$6:$E$311,'Livre des recettes'!$I$6:$I$311,"Achat-revente",'Livre des recettes'!$J$6:$J$311,"2028 T3")</f>
        <v/>
      </c>
      <c r="F17" s="19">
        <f>SUMIFS('Livre des recettes'!$E$6:$E$311,'Livre des recettes'!$I$6:$I$311,"Prestation de services",'Livre des recettes'!$J$6:$J$311,"2028 T3")</f>
        <v/>
      </c>
      <c r="G17" s="19">
        <f>SUMIFS('Livre des recettes'!$E$6:$E$311,'Livre des recettes'!$I$6:$I$311,"Convoyage automobile",'Livre des recettes'!$J$6:$J$311,"2028 T3")</f>
        <v/>
      </c>
      <c r="H17" s="19">
        <f>E17+F17+G17</f>
        <v/>
      </c>
      <c r="I17" s="19">
        <f>ROUND(E17*0.124+G17*0.213,2)</f>
        <v/>
      </c>
      <c r="J17" s="19" t="n"/>
    </row>
    <row r="18">
      <c r="A18" t="n">
        <v>2028</v>
      </c>
      <c r="B18" t="inlineStr">
        <is>
          <t>T4</t>
        </is>
      </c>
      <c r="C18" t="inlineStr">
        <is>
          <t>octobre – décembre</t>
        </is>
      </c>
      <c r="D18" t="inlineStr">
        <is>
          <t>31 janvier 2029</t>
        </is>
      </c>
      <c r="E18" s="19">
        <f>SUMIFS('Livre des recettes'!$E$6:$E$311,'Livre des recettes'!$I$6:$I$311,"Achat-revente",'Livre des recettes'!$J$6:$J$311,"2028 T4")</f>
        <v/>
      </c>
      <c r="F18" s="19">
        <f>SUMIFS('Livre des recettes'!$E$6:$E$311,'Livre des recettes'!$I$6:$I$311,"Prestation de services",'Livre des recettes'!$J$6:$J$311,"2028 T4")</f>
        <v/>
      </c>
      <c r="G18" s="19">
        <f>SUMIFS('Livre des recettes'!$E$6:$E$311,'Livre des recettes'!$I$6:$I$311,"Convoyage automobile",'Livre des recettes'!$J$6:$J$311,"2028 T4")</f>
        <v/>
      </c>
      <c r="H18" s="19">
        <f>E18+F18+G18</f>
        <v/>
      </c>
      <c r="I18" s="19">
        <f>ROUND(E18*0.124+G18*0.213,2)</f>
        <v/>
      </c>
      <c r="J18" s="19" t="n"/>
    </row>
    <row r="19">
      <c r="A19" s="20" t="n">
        <v>2028</v>
      </c>
      <c r="B19" s="20" t="n"/>
      <c r="C19" s="20" t="inlineStr">
        <is>
          <t>Total 2028</t>
        </is>
      </c>
      <c r="D19" s="20" t="n"/>
      <c r="E19" s="21">
        <f>SUM(E15:E18)</f>
        <v/>
      </c>
      <c r="F19" s="21">
        <f>SUM(F15:F18)</f>
        <v/>
      </c>
      <c r="G19" s="21">
        <f>SUM(G15:G18)</f>
        <v/>
      </c>
      <c r="H19" s="21">
        <f>SUM(H15:H18)</f>
        <v/>
      </c>
      <c r="I19" s="21">
        <f>SUM(I15:I18)</f>
        <v/>
      </c>
      <c r="J19" s="21">
        <f>SUM(J15:J18)</f>
        <v/>
      </c>
      <c r="K19" s="2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0"/>
  <sheetViews>
    <sheetView workbookViewId="0">
      <pane ySplit="5" topLeftCell="A6" activePane="bottomLeft" state="frozen"/>
      <selection pane="bottomLeft" activeCell="A1" sqref="A1"/>
    </sheetView>
  </sheetViews>
  <sheetFormatPr baseColWidth="8" defaultRowHeight="15"/>
  <cols>
    <col width="6" customWidth="1" min="1" max="1"/>
    <col width="16" customWidth="1" min="2" max="2"/>
    <col width="26" customWidth="1" min="3" max="3"/>
    <col width="62" customWidth="1" min="4" max="4"/>
    <col width="15" customWidth="1" min="5" max="5"/>
    <col width="16" customWidth="1" min="6" max="6"/>
    <col width="32" customWidth="1" min="7" max="7"/>
    <col width="40" customWidth="1" min="9" max="9"/>
    <col width="14" customWidth="1" min="10" max="10"/>
  </cols>
  <sheetData>
    <row r="1">
      <c r="A1" s="1" t="inlineStr">
        <is>
          <t>Registre des achats — Maison Nsaia</t>
        </is>
      </c>
    </row>
    <row r="2">
      <c r="A2" s="5" t="inlineStr">
        <is>
          <t>Obligatoire dès lors qu'il y a achat-revente. Une ligne par lot facturé.</t>
        </is>
      </c>
      <c r="I2" s="2" t="inlineStr">
        <is>
          <t>TOTAUX</t>
        </is>
      </c>
    </row>
    <row r="3">
      <c r="A3" s="5" t="inlineStr">
        <is>
          <t>Les lignes en jaune sont incomplètes : la facture reste à retrouver.</t>
        </is>
      </c>
      <c r="I3" s="3" t="inlineStr">
        <is>
          <t>Total engagé — marchandise et expédition</t>
        </is>
      </c>
      <c r="J3" s="6">
        <f>SUM(E6:E350)</f>
        <v/>
      </c>
    </row>
    <row r="4">
      <c r="I4" s="8" t="inlineStr">
        <is>
          <t>dont marchandise</t>
        </is>
      </c>
      <c r="J4" s="13">
        <f>SUMIF(D6:D350,"&lt;&gt;Frais d'expédition*",E6:E350)</f>
        <v/>
      </c>
    </row>
    <row r="5" ht="34" customHeight="1">
      <c r="A5" s="7" t="inlineStr">
        <is>
          <t>N°</t>
        </is>
      </c>
      <c r="B5" s="7" t="inlineStr">
        <is>
          <t>Date de l'achat</t>
        </is>
      </c>
      <c r="C5" s="7" t="inlineStr">
        <is>
          <t>Fournisseur</t>
        </is>
      </c>
      <c r="D5" s="7" t="inlineStr">
        <is>
          <t>Désignation</t>
        </is>
      </c>
      <c r="E5" s="7" t="inlineStr">
        <is>
          <t>Montant TTC</t>
        </is>
      </c>
      <c r="F5" s="7" t="inlineStr">
        <is>
          <t>Mode de règlement</t>
        </is>
      </c>
      <c r="G5" s="7" t="inlineStr">
        <is>
          <t>Référence de la facture</t>
        </is>
      </c>
      <c r="I5" s="8" t="inlineStr">
        <is>
          <t>dont expédition</t>
        </is>
      </c>
      <c r="J5" s="13">
        <f>SUMIF(D6:D350,"Frais d'expédition*",E6:E350)</f>
        <v/>
      </c>
    </row>
    <row r="6">
      <c r="A6" s="10">
        <f>IF(B6="","",ROW()-5)</f>
        <v/>
      </c>
      <c r="B6" s="11" t="inlineStr">
        <is>
          <t>26/07/2026</t>
        </is>
      </c>
      <c r="C6" s="11" t="inlineStr">
        <is>
          <t>ERA Enchères Rhône-Alpes</t>
        </is>
      </c>
      <c r="D6" s="11" t="inlineStr">
        <is>
          <t>Pompe immergée ROBBY VP550W noir et bleu — produit d'occasion</t>
        </is>
      </c>
      <c r="E6" s="12" t="n">
        <v>35.9</v>
      </c>
      <c r="F6" s="11" t="inlineStr">
        <is>
          <t>Carte</t>
        </is>
      </c>
      <c r="G6" s="11" t="inlineStr">
        <is>
          <t>507148 · commande 28-7</t>
        </is>
      </c>
    </row>
    <row r="7">
      <c r="A7" s="10">
        <f>IF(B7="","",ROW()-5)</f>
        <v/>
      </c>
      <c r="B7" s="11" t="inlineStr">
        <is>
          <t>26/07/2026</t>
        </is>
      </c>
      <c r="C7" s="11" t="inlineStr">
        <is>
          <t>ERA Enchères Rhône-Alpes</t>
        </is>
      </c>
      <c r="D7" s="11" t="inlineStr">
        <is>
          <t>Pompe immergée ROBBY VP550W noir/gris — comme neuf, SOCLE CASSÉ</t>
        </is>
      </c>
      <c r="E7" s="12" t="n">
        <v>28.29</v>
      </c>
      <c r="F7" s="11" t="inlineStr">
        <is>
          <t>Carte</t>
        </is>
      </c>
      <c r="G7" s="11" t="inlineStr">
        <is>
          <t>507148 · commande 28-7</t>
        </is>
      </c>
      <c r="I7" s="8" t="inlineStr">
        <is>
          <t>Lots de marchandise inscrits</t>
        </is>
      </c>
      <c r="J7" s="8" t="n">
        <v>40</v>
      </c>
    </row>
    <row r="8">
      <c r="A8" s="10">
        <f>IF(B8="","",ROW()-5)</f>
        <v/>
      </c>
      <c r="B8" s="11" t="inlineStr">
        <is>
          <t>26/07/2026</t>
        </is>
      </c>
      <c r="C8" s="11" t="inlineStr">
        <is>
          <t>ERA Enchères Rhône-Alpes</t>
        </is>
      </c>
      <c r="D8" s="11" t="inlineStr">
        <is>
          <t>Pompe immergée ROBBY VP550W bleu et noir — occasion, NE MARCHE QU'EN MODE AUTO</t>
        </is>
      </c>
      <c r="E8" s="12" t="n">
        <v>19.41</v>
      </c>
      <c r="F8" s="11" t="inlineStr">
        <is>
          <t>Carte</t>
        </is>
      </c>
      <c r="G8" s="11" t="inlineStr">
        <is>
          <t>507148 · commande 28-7</t>
        </is>
      </c>
      <c r="I8" s="8" t="inlineStr">
        <is>
          <t>Lignes à compléter — fond jaune</t>
        </is>
      </c>
      <c r="J8" s="14" t="n">
        <v>0</v>
      </c>
    </row>
    <row r="9">
      <c r="A9" s="10">
        <f>IF(B9="","",ROW()-5)</f>
        <v/>
      </c>
      <c r="B9" s="11" t="inlineStr">
        <is>
          <t>28/07/2026</t>
        </is>
      </c>
      <c r="C9" s="11" t="inlineStr">
        <is>
          <t>ADN Enchères — Lyon</t>
        </is>
      </c>
      <c r="D9" s="11" t="inlineStr">
        <is>
          <t>Lot n°120 — Lot de 12 paires de tongs HAVAIANAS fuchsia 35/36 — neuf</t>
        </is>
      </c>
      <c r="E9" s="12" t="n">
        <v>100.8</v>
      </c>
      <c r="F9" s="11" t="inlineStr">
        <is>
          <t>Carte</t>
        </is>
      </c>
      <c r="G9" s="11" t="inlineStr">
        <is>
          <t>FB2026-5844 · bordereau TLE-428-5</t>
        </is>
      </c>
    </row>
    <row r="10">
      <c r="A10" s="10">
        <f>IF(B10="","",ROW()-5)</f>
        <v/>
      </c>
      <c r="B10" s="11" t="inlineStr">
        <is>
          <t>28/07/2026</t>
        </is>
      </c>
      <c r="C10" s="11" t="inlineStr">
        <is>
          <t>ADN Enchères — Le Mans</t>
        </is>
      </c>
      <c r="D10" s="11" t="inlineStr">
        <is>
          <t>Lot n°168 — Veste en jean ARMANI EXCHANGE T.S — neuve</t>
        </is>
      </c>
      <c r="E10" s="12" t="n">
        <v>25.2</v>
      </c>
      <c r="F10" s="11" t="inlineStr">
        <is>
          <t>Carte</t>
        </is>
      </c>
      <c r="G10" s="11" t="inlineStr">
        <is>
          <t>FB2026-43717 · bordereau ADN-1708-87</t>
        </is>
      </c>
    </row>
    <row r="11">
      <c r="A11" s="10">
        <f>IF(B11="","",ROW()-5)</f>
        <v/>
      </c>
      <c r="B11" s="11" t="inlineStr">
        <is>
          <t>28/07/2026</t>
        </is>
      </c>
      <c r="C11" s="11" t="inlineStr">
        <is>
          <t>ADN Enchères — Le Mans</t>
        </is>
      </c>
      <c r="D11" s="11" t="inlineStr">
        <is>
          <t>Lot n°303 — Lot de 4 gilets de flottaison MRS.ERTHA 3-6 ans — neuf</t>
        </is>
      </c>
      <c r="E11" s="12" t="n">
        <v>37.8</v>
      </c>
      <c r="F11" s="11" t="inlineStr">
        <is>
          <t>Carte</t>
        </is>
      </c>
      <c r="G11" s="11" t="inlineStr">
        <is>
          <t>FB2026-43717 · bordereau ADN-1708-87</t>
        </is>
      </c>
    </row>
    <row r="12">
      <c r="A12" s="10">
        <f>IF(B12="","",ROW()-5)</f>
        <v/>
      </c>
      <c r="B12" s="11" t="inlineStr">
        <is>
          <t>28/07/2026</t>
        </is>
      </c>
      <c r="C12" s="11" t="inlineStr">
        <is>
          <t>ADN Enchères — Le Mans</t>
        </is>
      </c>
      <c r="D12" s="11" t="inlineStr">
        <is>
          <t>Lot n°7 — Robe SANDRO T.40 — neuve</t>
        </is>
      </c>
      <c r="E12" s="12" t="n">
        <v>37.8</v>
      </c>
      <c r="F12" s="11" t="inlineStr">
        <is>
          <t>Carte</t>
        </is>
      </c>
      <c r="G12" s="11" t="inlineStr">
        <is>
          <t>FB2026-43716 · bordereau ADN-1707-5</t>
        </is>
      </c>
    </row>
    <row r="13">
      <c r="A13" s="10">
        <f>IF(B13="","",ROW()-5)</f>
        <v/>
      </c>
      <c r="B13" s="11" t="inlineStr">
        <is>
          <t>28/07/2026</t>
        </is>
      </c>
      <c r="C13" s="11" t="inlineStr">
        <is>
          <t>ADN Enchères — Le Mans</t>
        </is>
      </c>
      <c r="D13" s="11" t="inlineStr">
        <is>
          <t>Lot n°103 — Baskets HOKA P.37 1/3 — neuves</t>
        </is>
      </c>
      <c r="E13" s="12" t="n">
        <v>63</v>
      </c>
      <c r="F13" s="11" t="inlineStr">
        <is>
          <t>Carte</t>
        </is>
      </c>
      <c r="G13" s="11" t="inlineStr">
        <is>
          <t>FB2026-43716 · bordereau ADN-1707-5</t>
        </is>
      </c>
    </row>
    <row r="14">
      <c r="A14" s="10">
        <f>IF(B14="","",ROW()-5)</f>
        <v/>
      </c>
      <c r="B14" s="11" t="inlineStr">
        <is>
          <t>28/07/2026</t>
        </is>
      </c>
      <c r="C14" s="11" t="inlineStr">
        <is>
          <t>ADN Enchères — Le Mans</t>
        </is>
      </c>
      <c r="D14" s="11" t="inlineStr">
        <is>
          <t>Lot n°170 — Baskets NIKE Air Max Moto 2K P.44.5 — neuves</t>
        </is>
      </c>
      <c r="E14" s="12" t="n">
        <v>50.4</v>
      </c>
      <c r="F14" s="11" t="inlineStr">
        <is>
          <t>Carte</t>
        </is>
      </c>
      <c r="G14" s="11" t="inlineStr">
        <is>
          <t>FB2026-43716 · bordereau ADN-1707-5</t>
        </is>
      </c>
    </row>
    <row r="15">
      <c r="A15" s="10">
        <f>IF(B15="","",ROW()-5)</f>
        <v/>
      </c>
      <c r="B15" s="11" t="inlineStr">
        <is>
          <t>28/07/2026</t>
        </is>
      </c>
      <c r="C15" s="11" t="inlineStr">
        <is>
          <t>ADN Enchères — Le Mans</t>
        </is>
      </c>
      <c r="D15" s="11" t="inlineStr">
        <is>
          <t>Lot n°191 — Chaussures HOGAN P.36 — traces d'essayage</t>
        </is>
      </c>
      <c r="E15" s="12" t="n">
        <v>12.6</v>
      </c>
      <c r="F15" s="11" t="inlineStr">
        <is>
          <t>Carte</t>
        </is>
      </c>
      <c r="G15" s="11" t="inlineStr">
        <is>
          <t>FB2026-43716 · bordereau ADN-1707-5</t>
        </is>
      </c>
    </row>
    <row r="16">
      <c r="A16" s="10">
        <f>IF(B16="","",ROW()-5)</f>
        <v/>
      </c>
      <c r="B16" s="11" t="inlineStr">
        <is>
          <t>28/07/2026</t>
        </is>
      </c>
      <c r="C16" s="11" t="inlineStr">
        <is>
          <t>ADN Enchères — Le Mans</t>
        </is>
      </c>
      <c r="D16" s="11" t="inlineStr">
        <is>
          <t>Lot n°199 — NEW BALANCE G19064IK Alkaline Green P.38½ — neuves avec boîte</t>
        </is>
      </c>
      <c r="E16" s="12" t="n">
        <v>75.59999999999999</v>
      </c>
      <c r="F16" s="11" t="inlineStr">
        <is>
          <t>Carte</t>
        </is>
      </c>
      <c r="G16" s="11" t="inlineStr">
        <is>
          <t>FB2026-43716 · bordereau ADN-1707-5</t>
        </is>
      </c>
    </row>
    <row r="17">
      <c r="A17" s="10">
        <f>IF(B17="","",ROW()-5)</f>
        <v/>
      </c>
      <c r="B17" s="11" t="inlineStr">
        <is>
          <t>28/07/2026</t>
        </is>
      </c>
      <c r="C17" s="11" t="inlineStr">
        <is>
          <t>ADN Enchères — Le Mans</t>
        </is>
      </c>
      <c r="D17" s="11" t="inlineStr">
        <is>
          <t>Lot n°357 — Lot de 2 paires ADIDAS Predator Edge P.48 2/3 — neuves</t>
        </is>
      </c>
      <c r="E17" s="12" t="n">
        <v>37.8</v>
      </c>
      <c r="F17" s="11" t="inlineStr">
        <is>
          <t>Carte</t>
        </is>
      </c>
      <c r="G17" s="11" t="inlineStr">
        <is>
          <t>FB2026-43716 · bordereau ADN-1707-5</t>
        </is>
      </c>
    </row>
    <row r="18">
      <c r="A18" s="10">
        <f>IF(B18="","",ROW()-5)</f>
        <v/>
      </c>
      <c r="B18" s="11" t="inlineStr">
        <is>
          <t>28/07/2026</t>
        </is>
      </c>
      <c r="C18" s="11" t="inlineStr">
        <is>
          <t>ADN Enchères — Le Mans</t>
        </is>
      </c>
      <c r="D18" s="11" t="inlineStr">
        <is>
          <t>Lot n°408 — Short BA&amp;SH Fegor T.34 — neuf</t>
        </is>
      </c>
      <c r="E18" s="12" t="n">
        <v>50.4</v>
      </c>
      <c r="F18" s="11" t="inlineStr">
        <is>
          <t>Carte</t>
        </is>
      </c>
      <c r="G18" s="11" t="inlineStr">
        <is>
          <t>FB2026-43716 · bordereau ADN-1707-5</t>
        </is>
      </c>
    </row>
    <row r="19">
      <c r="A19" s="10">
        <f>IF(B19="","",ROW()-5)</f>
        <v/>
      </c>
      <c r="B19" s="11" t="inlineStr">
        <is>
          <t>28/07/2026</t>
        </is>
      </c>
      <c r="C19" s="11" t="inlineStr">
        <is>
          <t>ADN Enchères — Le Mans</t>
        </is>
      </c>
      <c r="D19" s="11" t="inlineStr">
        <is>
          <t>Lot n°417 — Jupe midi SONIA RYKIEL T.34 — neuve</t>
        </is>
      </c>
      <c r="E19" s="12" t="n">
        <v>37.8</v>
      </c>
      <c r="F19" s="11" t="inlineStr">
        <is>
          <t>Carte</t>
        </is>
      </c>
      <c r="G19" s="11" t="inlineStr">
        <is>
          <t>FB2026-43716 · bordereau ADN-1707-5</t>
        </is>
      </c>
    </row>
    <row r="20">
      <c r="A20" s="10">
        <f>IF(B20="","",ROW()-5)</f>
        <v/>
      </c>
      <c r="B20" s="11" t="inlineStr">
        <is>
          <t>28/07/2026</t>
        </is>
      </c>
      <c r="C20" s="11" t="inlineStr">
        <is>
          <t>ADN Enchères — Le Mans</t>
        </is>
      </c>
      <c r="D20" s="11" t="inlineStr">
        <is>
          <t>Lot n°431 — Sac demi-lune nylon noir KARL LAGERFELD JEANS — neuf avec étiquette</t>
        </is>
      </c>
      <c r="E20" s="12" t="n">
        <v>50.4</v>
      </c>
      <c r="F20" s="11" t="inlineStr">
        <is>
          <t>Carte</t>
        </is>
      </c>
      <c r="G20" s="11" t="inlineStr">
        <is>
          <t>FB2026-43716 · bordereau ADN-1707-5</t>
        </is>
      </c>
    </row>
    <row r="21">
      <c r="A21" s="10">
        <f>IF(B21="","",ROW()-5)</f>
        <v/>
      </c>
      <c r="B21" s="11" t="inlineStr">
        <is>
          <t>28/07/2026</t>
        </is>
      </c>
      <c r="C21" s="11" t="inlineStr">
        <is>
          <t>ADN Enchères — Le Mans</t>
        </is>
      </c>
      <c r="D21" s="11" t="inlineStr">
        <is>
          <t>Lot n°434 — ADIDAS x STELLA McCARTNEY ASMC Ultraboost 21 P.36 — modèle d'exposition</t>
        </is>
      </c>
      <c r="E21" s="12" t="n">
        <v>37.8</v>
      </c>
      <c r="F21" s="11" t="inlineStr">
        <is>
          <t>Carte</t>
        </is>
      </c>
      <c r="G21" s="11" t="inlineStr">
        <is>
          <t>FB2026-43716 · bordereau ADN-1707-5</t>
        </is>
      </c>
    </row>
    <row r="22">
      <c r="A22" s="10">
        <f>IF(B22="","",ROW()-5)</f>
        <v/>
      </c>
      <c r="B22" s="11" t="inlineStr">
        <is>
          <t>28/07/2026</t>
        </is>
      </c>
      <c r="C22" s="11" t="inlineStr">
        <is>
          <t>ADN Enchères — Le Mans</t>
        </is>
      </c>
      <c r="D22" s="11" t="inlineStr">
        <is>
          <t>Lot n°439 — Ballerines MASSIMO DUTTI P.41 — traces d'essayage</t>
        </is>
      </c>
      <c r="E22" s="12" t="n">
        <v>25.2</v>
      </c>
      <c r="F22" s="11" t="inlineStr">
        <is>
          <t>Carte</t>
        </is>
      </c>
      <c r="G22" s="11" t="inlineStr">
        <is>
          <t>FB2026-43716 · bordereau ADN-1707-5</t>
        </is>
      </c>
    </row>
    <row r="23">
      <c r="A23" s="10">
        <f>IF(B23="","",ROW()-5)</f>
        <v/>
      </c>
      <c r="B23" s="11" t="inlineStr">
        <is>
          <t>28/07/2026</t>
        </is>
      </c>
      <c r="C23" s="11" t="inlineStr">
        <is>
          <t>ADN Enchères — Lyon</t>
        </is>
      </c>
      <c r="D23" s="11" t="inlineStr">
        <is>
          <t>Frais d'expédition — Colissimo Point Relais — assurance et signature</t>
        </is>
      </c>
      <c r="E23" s="12" t="n">
        <v>19.9</v>
      </c>
      <c r="F23" s="11" t="inlineStr">
        <is>
          <t>Carte</t>
        </is>
      </c>
      <c r="G23" s="11" t="inlineStr">
        <is>
          <t>FF2026-4060 · TLE-C26638</t>
        </is>
      </c>
    </row>
    <row r="24">
      <c r="A24" s="10">
        <f>IF(B24="","",ROW()-5)</f>
        <v/>
      </c>
      <c r="B24" s="11" t="inlineStr">
        <is>
          <t>03/08/2026</t>
        </is>
      </c>
      <c r="C24" s="11" t="inlineStr">
        <is>
          <t>ADN Enchères — Lyon</t>
        </is>
      </c>
      <c r="D24" s="11" t="inlineStr">
        <is>
          <t>Lot n°114 — NEW BALANCE sneakers P.38 — neuves</t>
        </is>
      </c>
      <c r="E24" s="12" t="n">
        <v>38.34</v>
      </c>
      <c r="F24" s="11" t="inlineStr">
        <is>
          <t>Carte</t>
        </is>
      </c>
      <c r="G24" s="11" t="inlineStr">
        <is>
          <t>FB2026-6023 · bordereau TLE-433-22</t>
        </is>
      </c>
    </row>
    <row r="25">
      <c r="A25" s="10">
        <f>IF(B25="","",ROW()-5)</f>
        <v/>
      </c>
      <c r="B25" s="11" t="inlineStr">
        <is>
          <t>03/08/2026</t>
        </is>
      </c>
      <c r="C25" s="11" t="inlineStr">
        <is>
          <t>ADN Enchères — Lyon</t>
        </is>
      </c>
      <c r="D25" s="11" t="inlineStr">
        <is>
          <t>Lot n°141 — LACOSTE sneakers P.42 — neuves</t>
        </is>
      </c>
      <c r="E25" s="12" t="n">
        <v>57.51</v>
      </c>
      <c r="F25" s="11" t="inlineStr">
        <is>
          <t>Carte</t>
        </is>
      </c>
      <c r="G25" s="11" t="inlineStr">
        <is>
          <t>FB2026-6023 · bordereau TLE-433-22</t>
        </is>
      </c>
    </row>
    <row r="26">
      <c r="A26" s="10">
        <f>IF(B26="","",ROW()-5)</f>
        <v/>
      </c>
      <c r="B26" s="11" t="inlineStr">
        <is>
          <t>03/08/2026</t>
        </is>
      </c>
      <c r="C26" s="11" t="inlineStr">
        <is>
          <t>ADN Enchères — Lyon</t>
        </is>
      </c>
      <c r="D26" s="11" t="inlineStr">
        <is>
          <t>Lot n°150 — EMPORIO ARMANI baskets P.36 — neuves</t>
        </is>
      </c>
      <c r="E26" s="12" t="n">
        <v>51.12</v>
      </c>
      <c r="F26" s="11" t="inlineStr">
        <is>
          <t>Carte</t>
        </is>
      </c>
      <c r="G26" s="11" t="inlineStr">
        <is>
          <t>FB2026-6023 · bordereau TLE-433-22</t>
        </is>
      </c>
    </row>
    <row r="27">
      <c r="A27" s="10">
        <f>IF(B27="","",ROW()-5)</f>
        <v/>
      </c>
      <c r="B27" s="11" t="inlineStr">
        <is>
          <t>03/08/2026</t>
        </is>
      </c>
      <c r="C27" s="11" t="inlineStr">
        <is>
          <t>ADN Enchères — Lyon</t>
        </is>
      </c>
      <c r="D27" s="11" t="inlineStr">
        <is>
          <t>Lot n°155 — GEOX baskets P.35 — neuves</t>
        </is>
      </c>
      <c r="E27" s="12" t="n">
        <v>21.73</v>
      </c>
      <c r="F27" s="11" t="inlineStr">
        <is>
          <t>Carte</t>
        </is>
      </c>
      <c r="G27" s="11" t="inlineStr">
        <is>
          <t>FB2026-6023 · bordereau TLE-433-22</t>
        </is>
      </c>
    </row>
    <row r="28">
      <c r="A28" s="10">
        <f>IF(B28="","",ROW()-5)</f>
        <v/>
      </c>
      <c r="B28" s="11" t="inlineStr">
        <is>
          <t>03/08/2026</t>
        </is>
      </c>
      <c r="C28" s="11" t="inlineStr">
        <is>
          <t>ADN Enchères — Lyon</t>
        </is>
      </c>
      <c r="D28" s="11" t="inlineStr">
        <is>
          <t>Lot n°156 — NEW BALANCE baskets montantes P.44 — neuves</t>
        </is>
      </c>
      <c r="E28" s="12" t="n">
        <v>51.12</v>
      </c>
      <c r="F28" s="11" t="inlineStr">
        <is>
          <t>Carte</t>
        </is>
      </c>
      <c r="G28" s="11" t="inlineStr">
        <is>
          <t>FB2026-6023 · bordereau TLE-433-22</t>
        </is>
      </c>
    </row>
    <row r="29">
      <c r="A29" s="10">
        <f>IF(B29="","",ROW()-5)</f>
        <v/>
      </c>
      <c r="B29" s="11" t="inlineStr">
        <is>
          <t>03/08/2026</t>
        </is>
      </c>
      <c r="C29" s="11" t="inlineStr">
        <is>
          <t>ADN Enchères — Lyon</t>
        </is>
      </c>
      <c r="D29" s="11" t="inlineStr">
        <is>
          <t>Lot n°158 — TOMMY JEANS baskets basses P.40 — neuves</t>
        </is>
      </c>
      <c r="E29" s="12" t="n">
        <v>52.4</v>
      </c>
      <c r="F29" s="11" t="inlineStr">
        <is>
          <t>Carte</t>
        </is>
      </c>
      <c r="G29" s="11" t="inlineStr">
        <is>
          <t>FB2026-6023 · bordereau TLE-433-22</t>
        </is>
      </c>
    </row>
    <row r="30">
      <c r="A30" s="10">
        <f>IF(B30="","",ROW()-5)</f>
        <v/>
      </c>
      <c r="B30" s="11" t="inlineStr">
        <is>
          <t>03/08/2026</t>
        </is>
      </c>
      <c r="C30" s="11" t="inlineStr">
        <is>
          <t>ADN Enchères — Lyon</t>
        </is>
      </c>
      <c r="D30" s="11" t="inlineStr">
        <is>
          <t>Lot n°159 — PHILIPP PLEIN SPORT baskets montantes P.40 — neuves</t>
        </is>
      </c>
      <c r="E30" s="12" t="n">
        <v>57.51</v>
      </c>
      <c r="F30" s="11" t="inlineStr">
        <is>
          <t>Carte</t>
        </is>
      </c>
      <c r="G30" s="11" t="inlineStr">
        <is>
          <t>FB2026-6023 · bordereau TLE-433-22</t>
        </is>
      </c>
    </row>
    <row r="31">
      <c r="A31" s="10">
        <f>IF(B31="","",ROW()-5)</f>
        <v/>
      </c>
      <c r="B31" s="11" t="inlineStr">
        <is>
          <t>03/08/2026</t>
        </is>
      </c>
      <c r="C31" s="11" t="inlineStr">
        <is>
          <t>ADN Enchères — Lyon</t>
        </is>
      </c>
      <c r="D31" s="11" t="inlineStr">
        <is>
          <t>Lot n°29 — PIER ANTONIO GASPARI robe droite bleu marine T.42 — neuve</t>
        </is>
      </c>
      <c r="E31" s="12" t="n">
        <v>25.56</v>
      </c>
      <c r="F31" s="11" t="inlineStr">
        <is>
          <t>Carte</t>
        </is>
      </c>
      <c r="G31" s="11" t="inlineStr">
        <is>
          <t>FB2026-5996 · bordereau TLE-429-32</t>
        </is>
      </c>
    </row>
    <row r="32">
      <c r="A32" s="10">
        <f>IF(B32="","",ROW()-5)</f>
        <v/>
      </c>
      <c r="B32" s="11" t="inlineStr">
        <is>
          <t>03/08/2026</t>
        </is>
      </c>
      <c r="C32" s="11" t="inlineStr">
        <is>
          <t>ADN Enchères — Lyon</t>
        </is>
      </c>
      <c r="D32" s="11" t="inlineStr">
        <is>
          <t>Lot n°32 — ELISABETTA FRANCHI robe asymétrique viscose T.46 IT — neuve</t>
        </is>
      </c>
      <c r="E32" s="12" t="n">
        <v>20.45</v>
      </c>
      <c r="F32" s="11" t="inlineStr">
        <is>
          <t>Carte</t>
        </is>
      </c>
      <c r="G32" s="11" t="inlineStr">
        <is>
          <t>FB2026-5996 · bordereau TLE-429-32</t>
        </is>
      </c>
    </row>
    <row r="33">
      <c r="A33" s="10">
        <f>IF(B33="","",ROW()-5)</f>
        <v/>
      </c>
      <c r="B33" s="11" t="inlineStr">
        <is>
          <t>03/08/2026</t>
        </is>
      </c>
      <c r="C33" s="11" t="inlineStr">
        <is>
          <t>ADN Enchères — Lyon</t>
        </is>
      </c>
      <c r="D33" s="11" t="inlineStr">
        <is>
          <t>Lot n°123 — CHIARA FERRAGNI robe bustier courte T.M — neuve</t>
        </is>
      </c>
      <c r="E33" s="12" t="n">
        <v>31.95</v>
      </c>
      <c r="F33" s="11" t="inlineStr">
        <is>
          <t>Carte</t>
        </is>
      </c>
      <c r="G33" s="11" t="inlineStr">
        <is>
          <t>FB2026-5996 · bordereau TLE-429-32</t>
        </is>
      </c>
    </row>
    <row r="34">
      <c r="A34" s="10">
        <f>IF(B34="","",ROW()-5)</f>
        <v/>
      </c>
      <c r="B34" s="11" t="inlineStr">
        <is>
          <t>03/08/2026</t>
        </is>
      </c>
      <c r="C34" s="11" t="inlineStr">
        <is>
          <t>ADN Enchères — Le Mans</t>
        </is>
      </c>
      <c r="D34" s="11" t="inlineStr">
        <is>
          <t>Lot n°11 — SALOMON X Ultra 5 Mid GTX P.44 — neuves</t>
        </is>
      </c>
      <c r="E34" s="12" t="n">
        <v>76.68000000000001</v>
      </c>
      <c r="F34" s="11" t="inlineStr">
        <is>
          <t>Carte</t>
        </is>
      </c>
      <c r="G34" s="11" t="inlineStr">
        <is>
          <t>FB2026-44192 · bordereau ADN-1711-8</t>
        </is>
      </c>
    </row>
    <row r="35">
      <c r="A35" s="10">
        <f>IF(B35="","",ROW()-5)</f>
        <v/>
      </c>
      <c r="B35" s="11" t="inlineStr">
        <is>
          <t>03/08/2026</t>
        </is>
      </c>
      <c r="C35" s="11" t="inlineStr">
        <is>
          <t>ADN Enchères — Le Mans</t>
        </is>
      </c>
      <c r="D35" s="11" t="inlineStr">
        <is>
          <t>Lot n°159 — Lot de 4 toupies BEYBLADE HASBRO</t>
        </is>
      </c>
      <c r="E35" s="12" t="n">
        <v>19.17</v>
      </c>
      <c r="F35" s="11" t="inlineStr">
        <is>
          <t>Carte</t>
        </is>
      </c>
      <c r="G35" s="11" t="inlineStr">
        <is>
          <t>FB2026-44192 · bordereau ADN-1711-8</t>
        </is>
      </c>
    </row>
    <row r="36">
      <c r="A36" s="10">
        <f>IF(B36="","",ROW()-5)</f>
        <v/>
      </c>
      <c r="B36" s="11" t="inlineStr">
        <is>
          <t>03/08/2026</t>
        </is>
      </c>
      <c r="C36" s="11" t="inlineStr">
        <is>
          <t>ADN Enchères — Le Mans</t>
        </is>
      </c>
      <c r="D36" s="11" t="inlineStr">
        <is>
          <t>Lot n°299 — Lot de 4 toupies BEYBLADE HASBRO</t>
        </is>
      </c>
      <c r="E36" s="12" t="n">
        <v>38.34</v>
      </c>
      <c r="F36" s="11" t="inlineStr">
        <is>
          <t>Carte</t>
        </is>
      </c>
      <c r="G36" s="11" t="inlineStr">
        <is>
          <t>FB2026-44192 · bordereau ADN-1711-8</t>
        </is>
      </c>
    </row>
    <row r="37">
      <c r="A37" s="10">
        <f>IF(B37="","",ROW()-5)</f>
        <v/>
      </c>
      <c r="B37" s="11" t="inlineStr">
        <is>
          <t>03/08/2026</t>
        </is>
      </c>
      <c r="C37" s="11" t="inlineStr">
        <is>
          <t>ADN Enchères — Le Mans</t>
        </is>
      </c>
      <c r="D37" s="11" t="inlineStr">
        <is>
          <t>Lot n°9 — T-shirt BALENCIAGA T.2 — neuf</t>
        </is>
      </c>
      <c r="E37" s="12" t="n">
        <v>113.4</v>
      </c>
      <c r="F37" s="11" t="inlineStr">
        <is>
          <t>Carte</t>
        </is>
      </c>
      <c r="G37" s="11" t="inlineStr">
        <is>
          <t>FB2026-44194 · bordereau ADN-1712-6</t>
        </is>
      </c>
    </row>
    <row r="38">
      <c r="A38" s="10">
        <f>IF(B38="","",ROW()-5)</f>
        <v/>
      </c>
      <c r="B38" s="11" t="inlineStr">
        <is>
          <t>03/08/2026</t>
        </is>
      </c>
      <c r="C38" s="11" t="inlineStr">
        <is>
          <t>ADN Enchères — Le Mans</t>
        </is>
      </c>
      <c r="D38" s="11" t="inlineStr">
        <is>
          <t>Lot n°229 — Blazer noir KARL LAGERFELD T.36 FR — neuf avec étiquette</t>
        </is>
      </c>
      <c r="E38" s="12" t="n">
        <v>50.4</v>
      </c>
      <c r="F38" s="11" t="inlineStr">
        <is>
          <t>Carte</t>
        </is>
      </c>
      <c r="G38" s="11" t="inlineStr">
        <is>
          <t>FB2026-44194 · bordereau ADN-1712-6</t>
        </is>
      </c>
    </row>
    <row r="39">
      <c r="A39" s="10">
        <f>IF(B39="","",ROW()-5)</f>
        <v/>
      </c>
      <c r="B39" s="11" t="inlineStr">
        <is>
          <t>03/08/2026</t>
        </is>
      </c>
      <c r="C39" s="11" t="inlineStr">
        <is>
          <t>Meccha Japan</t>
        </is>
      </c>
      <c r="D39" s="11" t="inlineStr">
        <is>
          <t>1 booster box Pokémon MEGA Nihil Zero (Munikis Zero) M3 — 30 boosters de 5 cartes</t>
        </is>
      </c>
      <c r="E39" s="12" t="n">
        <v>69.23999999999999</v>
      </c>
      <c r="F39" s="11" t="inlineStr">
        <is>
          <t>Carte</t>
        </is>
      </c>
      <c r="G39" s="11" t="inlineStr">
        <is>
          <t>#FA429713 · commande DVGGUEEHC</t>
        </is>
      </c>
    </row>
    <row r="40">
      <c r="A40" s="10">
        <f>IF(B40="","",ROW()-5)</f>
        <v/>
      </c>
      <c r="B40" s="11" t="inlineStr">
        <is>
          <t>03/08/2026</t>
        </is>
      </c>
      <c r="C40" s="11" t="inlineStr">
        <is>
          <t>Meccha Japan</t>
        </is>
      </c>
      <c r="D40" s="11" t="inlineStr">
        <is>
          <t>1 booster Pokémon High Class Pack MEGA Dream ex M2a — 10 cartes dans le booster</t>
        </is>
      </c>
      <c r="E40" s="12" t="n">
        <v>12.95</v>
      </c>
      <c r="F40" s="11" t="inlineStr">
        <is>
          <t>Carte</t>
        </is>
      </c>
      <c r="G40" s="11" t="inlineStr">
        <is>
          <t>#FA429713 · commande DVGGUEEHC</t>
        </is>
      </c>
    </row>
    <row r="41">
      <c r="A41" s="10">
        <f>IF(B41="","",ROW()-5)</f>
        <v/>
      </c>
      <c r="B41" s="11" t="inlineStr">
        <is>
          <t>03/08/2026</t>
        </is>
      </c>
      <c r="C41" s="11" t="inlineStr">
        <is>
          <t>Meccha Japan</t>
        </is>
      </c>
      <c r="D41" s="11" t="inlineStr">
        <is>
          <t>2 boosters Pokémon MEGA Storm Emeralda M6 — 5 cartes chacun</t>
        </is>
      </c>
      <c r="E41" s="12" t="n">
        <v>12.74</v>
      </c>
      <c r="F41" s="11" t="inlineStr">
        <is>
          <t>Carte</t>
        </is>
      </c>
      <c r="G41" s="11" t="inlineStr">
        <is>
          <t>#FA429713 · commande DVGGUEEHC</t>
        </is>
      </c>
    </row>
    <row r="42">
      <c r="A42" s="10">
        <f>IF(B42="","",ROW()-5)</f>
        <v/>
      </c>
      <c r="B42" s="11" t="inlineStr">
        <is>
          <t>03/08/2026</t>
        </is>
      </c>
      <c r="C42" s="11" t="inlineStr">
        <is>
          <t>ADN Enchères — Lyon</t>
        </is>
      </c>
      <c r="D42" s="11" t="inlineStr">
        <is>
          <t>Frais d'expédition — Colissimo Point Relais — assurance et signature</t>
        </is>
      </c>
      <c r="E42" s="12" t="n">
        <v>18.22</v>
      </c>
      <c r="F42" s="11" t="inlineStr">
        <is>
          <t>Carte</t>
        </is>
      </c>
      <c r="G42" s="11" t="inlineStr">
        <is>
          <t>FF2026-4146 · TLE-C26827</t>
        </is>
      </c>
    </row>
    <row r="43">
      <c r="A43" s="10">
        <f>IF(B43="","",ROW()-5)</f>
        <v/>
      </c>
      <c r="B43" s="11" t="inlineStr">
        <is>
          <t>03/08/2026</t>
        </is>
      </c>
      <c r="C43" s="11" t="inlineStr">
        <is>
          <t>ADN Enchères — Lyon</t>
        </is>
      </c>
      <c r="D43" s="11" t="inlineStr">
        <is>
          <t>Frais d'expédition — Colissimo Point Relais — assurance et signature</t>
        </is>
      </c>
      <c r="E43" s="12" t="n">
        <v>29.94</v>
      </c>
      <c r="F43" s="11" t="inlineStr">
        <is>
          <t>Carte</t>
        </is>
      </c>
      <c r="G43" s="11" t="inlineStr">
        <is>
          <t>FF2026-4160 · TLE-C26851</t>
        </is>
      </c>
    </row>
    <row r="44">
      <c r="A44" s="10">
        <f>IF(B44="","",ROW()-5)</f>
        <v/>
      </c>
      <c r="B44" s="11" t="inlineStr">
        <is>
          <t>10/08/2026</t>
        </is>
      </c>
      <c r="C44" s="11" t="inlineStr">
        <is>
          <t>ADN Enchères — Le Mans</t>
        </is>
      </c>
      <c r="D44" s="11" t="inlineStr">
        <is>
          <t>Lot n°8 — ADIDAS Yeezy 700 V3 Mono Safflower T.38 — occasion</t>
        </is>
      </c>
      <c r="E44" s="12" t="n">
        <v>63</v>
      </c>
      <c r="F44" s="11" t="inlineStr">
        <is>
          <t>Carte</t>
        </is>
      </c>
      <c r="G44" s="11" t="inlineStr">
        <is>
          <t>FB2026-46056 · bordereau ADN-1743-6</t>
        </is>
      </c>
    </row>
    <row r="45">
      <c r="A45" s="10">
        <f>IF(B45="","",ROW()-5)</f>
        <v/>
      </c>
      <c r="B45" s="11" t="inlineStr">
        <is>
          <t>10/08/2026</t>
        </is>
      </c>
      <c r="C45" s="11" t="inlineStr">
        <is>
          <t>ADN Enchères — Le Mans</t>
        </is>
      </c>
      <c r="D45" s="11" t="inlineStr">
        <is>
          <t>Lot n°279 — Lot de 6 vêtements femme MORGAN T.40 et L — neuf</t>
        </is>
      </c>
      <c r="E45" s="12" t="n">
        <v>37.8</v>
      </c>
      <c r="F45" s="11" t="inlineStr">
        <is>
          <t>Carte</t>
        </is>
      </c>
      <c r="G45" s="11" t="inlineStr">
        <is>
          <t>FB2026-46056 · bordereau ADN-1743-6</t>
        </is>
      </c>
    </row>
    <row r="46">
      <c r="A46" s="10">
        <f>IF(B46="","",ROW()-5)</f>
        <v/>
      </c>
      <c r="B46" s="11" t="inlineStr">
        <is>
          <t>10/08/2026</t>
        </is>
      </c>
      <c r="C46" s="11" t="inlineStr">
        <is>
          <t>ADN Enchères — Le Mans</t>
        </is>
      </c>
      <c r="D46" s="11" t="inlineStr">
        <is>
          <t>Lot n°162 — Demi-bottes FORMA Legacy Waterproof T.45 noir — neuves</t>
        </is>
      </c>
      <c r="E46" s="12" t="n">
        <v>63</v>
      </c>
      <c r="F46" s="11" t="inlineStr">
        <is>
          <t>Carte</t>
        </is>
      </c>
      <c r="G46" s="11" t="inlineStr">
        <is>
          <t>FB2026-46058 · bordereau ADN-1716-91</t>
        </is>
      </c>
    </row>
    <row r="47">
      <c r="A47" s="10">
        <f>IF(B47="","",ROW()-5)</f>
        <v/>
      </c>
      <c r="B47" s="11" t="inlineStr">
        <is>
          <t>10/08/2026</t>
        </is>
      </c>
      <c r="C47" s="11" t="inlineStr">
        <is>
          <t>ADN Enchères — Le Mans</t>
        </is>
      </c>
      <c r="D47" s="11" t="inlineStr">
        <is>
          <t>Lot n°1350 — Combinaison de pluie BMW Overall ProRain unisexe XL — neuve</t>
        </is>
      </c>
      <c r="E47" s="12" t="n">
        <v>68.56999999999999</v>
      </c>
      <c r="F47" s="11" t="inlineStr">
        <is>
          <t>Carte</t>
        </is>
      </c>
      <c r="G47" s="11" t="inlineStr">
        <is>
          <t>FB2026-46060 · bordereau ADN-1727-194</t>
        </is>
      </c>
    </row>
    <row r="48">
      <c r="A48" s="10">
        <f>IF(B48="","",ROW()-5)</f>
        <v/>
      </c>
      <c r="B48" s="11" t="inlineStr">
        <is>
          <t>10/08/2026</t>
        </is>
      </c>
      <c r="C48" s="11" t="inlineStr">
        <is>
          <t>ADN Enchères — Le Mans</t>
        </is>
      </c>
      <c r="D48" s="11" t="inlineStr">
        <is>
          <t>Frais d'expédition — Colissimo Point Relais</t>
        </is>
      </c>
      <c r="E48" s="12" t="n">
        <v>15.72</v>
      </c>
      <c r="F48" s="11" t="inlineStr">
        <is>
          <t>Carte</t>
        </is>
      </c>
      <c r="G48" s="11" t="inlineStr">
        <is>
          <t>FF2026-32305 · ADN-C208494</t>
        </is>
      </c>
    </row>
    <row r="49">
      <c r="A49" s="10">
        <f>IF(B49="","",ROW()-5)</f>
        <v/>
      </c>
      <c r="B49" s="11" t="inlineStr">
        <is>
          <t>11/08/2026</t>
        </is>
      </c>
      <c r="C49" s="11" t="inlineStr">
        <is>
          <t>ADN Enchères — Lyon</t>
        </is>
      </c>
      <c r="D49" s="11" t="inlineStr">
        <is>
          <t>Lot n°388 — Lot de 20 paires de sandales et tongs RELIFE / TOMMY JEANS — neuf</t>
        </is>
      </c>
      <c r="E49" s="12" t="n">
        <v>56.7</v>
      </c>
      <c r="F49" s="11" t="inlineStr">
        <is>
          <t>Carte</t>
        </is>
      </c>
      <c r="G49" s="11" t="inlineStr">
        <is>
          <t>FB2026-6354 · bordereau TLE-442-121</t>
        </is>
      </c>
    </row>
    <row r="50">
      <c r="A50" s="10">
        <f>IF(B50="","",ROW()-5)</f>
        <v/>
      </c>
      <c r="B50" s="11" t="inlineStr">
        <is>
          <t>12/08/2026</t>
        </is>
      </c>
      <c r="C50" s="11" t="inlineStr">
        <is>
          <t>ADN Enchères — Lyon</t>
        </is>
      </c>
      <c r="D50" s="11" t="inlineStr">
        <is>
          <t>Frais d'expédition — Colissimo Point Relais — assurance et signature</t>
        </is>
      </c>
      <c r="E50" s="12" t="n">
        <v>44.02</v>
      </c>
      <c r="F50" s="11" t="inlineStr">
        <is>
          <t>Carte</t>
        </is>
      </c>
      <c r="G50" s="11" t="inlineStr">
        <is>
          <t>FF2026-4456 · TLE-C27429</t>
        </is>
      </c>
    </row>
    <row r="51">
      <c r="A51" s="10">
        <f>IF(B51="","",ROW()-5)</f>
        <v/>
      </c>
      <c r="B51" s="11" t="n"/>
      <c r="C51" s="11" t="n"/>
      <c r="D51" s="11" t="n"/>
      <c r="E51" s="12" t="n"/>
      <c r="F51" s="11" t="n"/>
      <c r="G51" s="11" t="n"/>
    </row>
    <row r="52">
      <c r="A52" s="10">
        <f>IF(B52="","",ROW()-5)</f>
        <v/>
      </c>
      <c r="B52" s="11" t="n"/>
      <c r="C52" s="11" t="n"/>
      <c r="D52" s="11" t="n"/>
      <c r="E52" s="12" t="n"/>
      <c r="F52" s="11" t="n"/>
      <c r="G52" s="11" t="n"/>
    </row>
    <row r="53">
      <c r="A53" s="10">
        <f>IF(B53="","",ROW()-5)</f>
        <v/>
      </c>
      <c r="B53" s="11" t="n"/>
      <c r="C53" s="11" t="n"/>
      <c r="D53" s="11" t="n"/>
      <c r="E53" s="12" t="n"/>
      <c r="F53" s="11" t="n"/>
      <c r="G53" s="11" t="n"/>
    </row>
    <row r="54">
      <c r="A54" s="10">
        <f>IF(B54="","",ROW()-5)</f>
        <v/>
      </c>
      <c r="B54" s="11" t="n"/>
      <c r="C54" s="11" t="n"/>
      <c r="D54" s="11" t="n"/>
      <c r="E54" s="12" t="n"/>
      <c r="F54" s="11" t="n"/>
      <c r="G54" s="11" t="n"/>
    </row>
    <row r="55">
      <c r="A55" s="10">
        <f>IF(B55="","",ROW()-5)</f>
        <v/>
      </c>
      <c r="B55" s="11" t="n"/>
      <c r="C55" s="11" t="n"/>
      <c r="D55" s="11" t="n"/>
      <c r="E55" s="12" t="n"/>
      <c r="F55" s="11" t="n"/>
      <c r="G55" s="11" t="n"/>
    </row>
    <row r="56">
      <c r="A56" s="10">
        <f>IF(B56="","",ROW()-5)</f>
        <v/>
      </c>
      <c r="B56" s="11" t="n"/>
      <c r="C56" s="11" t="n"/>
      <c r="D56" s="11" t="n"/>
      <c r="E56" s="12" t="n"/>
      <c r="F56" s="11" t="n"/>
      <c r="G56" s="11" t="n"/>
    </row>
    <row r="57">
      <c r="A57" s="10">
        <f>IF(B57="","",ROW()-5)</f>
        <v/>
      </c>
      <c r="B57" s="11" t="n"/>
      <c r="C57" s="11" t="n"/>
      <c r="D57" s="11" t="n"/>
      <c r="E57" s="12" t="n"/>
      <c r="F57" s="11" t="n"/>
      <c r="G57" s="11" t="n"/>
    </row>
    <row r="58">
      <c r="A58" s="10">
        <f>IF(B58="","",ROW()-5)</f>
        <v/>
      </c>
      <c r="B58" s="11" t="n"/>
      <c r="C58" s="11" t="n"/>
      <c r="D58" s="11" t="n"/>
      <c r="E58" s="12" t="n"/>
      <c r="F58" s="11" t="n"/>
      <c r="G58" s="11" t="n"/>
    </row>
    <row r="59">
      <c r="A59" s="10">
        <f>IF(B59="","",ROW()-5)</f>
        <v/>
      </c>
      <c r="B59" s="11" t="n"/>
      <c r="C59" s="11" t="n"/>
      <c r="D59" s="11" t="n"/>
      <c r="E59" s="12" t="n"/>
      <c r="F59" s="11" t="n"/>
      <c r="G59" s="11" t="n"/>
    </row>
    <row r="60">
      <c r="A60" s="10">
        <f>IF(B60="","",ROW()-5)</f>
        <v/>
      </c>
      <c r="B60" s="11" t="n"/>
      <c r="C60" s="11" t="n"/>
      <c r="D60" s="11" t="n"/>
      <c r="E60" s="12" t="n"/>
      <c r="F60" s="11" t="n"/>
      <c r="G60" s="11" t="n"/>
    </row>
    <row r="61">
      <c r="A61" s="10">
        <f>IF(B61="","",ROW()-5)</f>
        <v/>
      </c>
      <c r="B61" s="11" t="n"/>
      <c r="C61" s="11" t="n"/>
      <c r="D61" s="11" t="n"/>
      <c r="E61" s="12" t="n"/>
      <c r="F61" s="11" t="n"/>
      <c r="G61" s="11" t="n"/>
    </row>
    <row r="62">
      <c r="A62" s="10">
        <f>IF(B62="","",ROW()-5)</f>
        <v/>
      </c>
      <c r="B62" s="11" t="n"/>
      <c r="C62" s="11" t="n"/>
      <c r="D62" s="11" t="n"/>
      <c r="E62" s="12" t="n"/>
      <c r="F62" s="11" t="n"/>
      <c r="G62" s="11" t="n"/>
    </row>
    <row r="63">
      <c r="A63" s="10">
        <f>IF(B63="","",ROW()-5)</f>
        <v/>
      </c>
      <c r="B63" s="11" t="n"/>
      <c r="C63" s="11" t="n"/>
      <c r="D63" s="11" t="n"/>
      <c r="E63" s="12" t="n"/>
      <c r="F63" s="11" t="n"/>
      <c r="G63" s="11" t="n"/>
    </row>
    <row r="64">
      <c r="A64" s="10">
        <f>IF(B64="","",ROW()-5)</f>
        <v/>
      </c>
      <c r="B64" s="11" t="n"/>
      <c r="C64" s="11" t="n"/>
      <c r="D64" s="11" t="n"/>
      <c r="E64" s="12" t="n"/>
      <c r="F64" s="11" t="n"/>
      <c r="G64" s="11" t="n"/>
    </row>
    <row r="65">
      <c r="A65" s="10">
        <f>IF(B65="","",ROW()-5)</f>
        <v/>
      </c>
      <c r="B65" s="11" t="n"/>
      <c r="C65" s="11" t="n"/>
      <c r="D65" s="11" t="n"/>
      <c r="E65" s="12" t="n"/>
      <c r="F65" s="11" t="n"/>
      <c r="G65" s="11" t="n"/>
    </row>
    <row r="66">
      <c r="A66" s="10">
        <f>IF(B66="","",ROW()-5)</f>
        <v/>
      </c>
      <c r="B66" s="11" t="n"/>
      <c r="C66" s="11" t="n"/>
      <c r="D66" s="11" t="n"/>
      <c r="E66" s="12" t="n"/>
      <c r="F66" s="11" t="n"/>
      <c r="G66" s="11" t="n"/>
    </row>
    <row r="67">
      <c r="A67" s="10">
        <f>IF(B67="","",ROW()-5)</f>
        <v/>
      </c>
      <c r="B67" s="11" t="n"/>
      <c r="C67" s="11" t="n"/>
      <c r="D67" s="11" t="n"/>
      <c r="E67" s="12" t="n"/>
      <c r="F67" s="11" t="n"/>
      <c r="G67" s="11" t="n"/>
    </row>
    <row r="68">
      <c r="A68" s="10">
        <f>IF(B68="","",ROW()-5)</f>
        <v/>
      </c>
      <c r="B68" s="11" t="n"/>
      <c r="C68" s="11" t="n"/>
      <c r="D68" s="11" t="n"/>
      <c r="E68" s="12" t="n"/>
      <c r="F68" s="11" t="n"/>
      <c r="G68" s="11" t="n"/>
    </row>
    <row r="69">
      <c r="A69" s="10">
        <f>IF(B69="","",ROW()-5)</f>
        <v/>
      </c>
      <c r="B69" s="11" t="n"/>
      <c r="C69" s="11" t="n"/>
      <c r="D69" s="11" t="n"/>
      <c r="E69" s="12" t="n"/>
      <c r="F69" s="11" t="n"/>
      <c r="G69" s="11" t="n"/>
    </row>
    <row r="70">
      <c r="A70" s="10">
        <f>IF(B70="","",ROW()-5)</f>
        <v/>
      </c>
      <c r="B70" s="11" t="n"/>
      <c r="C70" s="11" t="n"/>
      <c r="D70" s="11" t="n"/>
      <c r="E70" s="12" t="n"/>
      <c r="F70" s="11" t="n"/>
      <c r="G70" s="11" t="n"/>
    </row>
    <row r="71">
      <c r="A71" s="10">
        <f>IF(B71="","",ROW()-5)</f>
        <v/>
      </c>
      <c r="B71" s="11" t="n"/>
      <c r="C71" s="11" t="n"/>
      <c r="D71" s="11" t="n"/>
      <c r="E71" s="12" t="n"/>
      <c r="F71" s="11" t="n"/>
      <c r="G71" s="11" t="n"/>
    </row>
    <row r="72">
      <c r="A72" s="10">
        <f>IF(B72="","",ROW()-5)</f>
        <v/>
      </c>
      <c r="B72" s="11" t="n"/>
      <c r="C72" s="11" t="n"/>
      <c r="D72" s="11" t="n"/>
      <c r="E72" s="12" t="n"/>
      <c r="F72" s="11" t="n"/>
      <c r="G72" s="11" t="n"/>
    </row>
    <row r="73">
      <c r="A73" s="10">
        <f>IF(B73="","",ROW()-5)</f>
        <v/>
      </c>
      <c r="B73" s="11" t="n"/>
      <c r="C73" s="11" t="n"/>
      <c r="D73" s="11" t="n"/>
      <c r="E73" s="12" t="n"/>
      <c r="F73" s="11" t="n"/>
      <c r="G73" s="11" t="n"/>
    </row>
    <row r="74">
      <c r="A74" s="10">
        <f>IF(B74="","",ROW()-5)</f>
        <v/>
      </c>
      <c r="B74" s="11" t="n"/>
      <c r="C74" s="11" t="n"/>
      <c r="D74" s="11" t="n"/>
      <c r="E74" s="12" t="n"/>
      <c r="F74" s="11" t="n"/>
      <c r="G74" s="11" t="n"/>
    </row>
    <row r="75">
      <c r="A75" s="10">
        <f>IF(B75="","",ROW()-5)</f>
        <v/>
      </c>
      <c r="B75" s="11" t="n"/>
      <c r="C75" s="11" t="n"/>
      <c r="D75" s="11" t="n"/>
      <c r="E75" s="12" t="n"/>
      <c r="F75" s="11" t="n"/>
      <c r="G75" s="11" t="n"/>
    </row>
    <row r="76">
      <c r="A76" s="10">
        <f>IF(B76="","",ROW()-5)</f>
        <v/>
      </c>
      <c r="B76" s="11" t="n"/>
      <c r="C76" s="11" t="n"/>
      <c r="D76" s="11" t="n"/>
      <c r="E76" s="12" t="n"/>
      <c r="F76" s="11" t="n"/>
      <c r="G76" s="11" t="n"/>
    </row>
    <row r="77">
      <c r="A77" s="10">
        <f>IF(B77="","",ROW()-5)</f>
        <v/>
      </c>
      <c r="B77" s="11" t="n"/>
      <c r="C77" s="11" t="n"/>
      <c r="D77" s="11" t="n"/>
      <c r="E77" s="12" t="n"/>
      <c r="F77" s="11" t="n"/>
      <c r="G77" s="11" t="n"/>
    </row>
    <row r="78">
      <c r="A78" s="10">
        <f>IF(B78="","",ROW()-5)</f>
        <v/>
      </c>
      <c r="B78" s="11" t="n"/>
      <c r="C78" s="11" t="n"/>
      <c r="D78" s="11" t="n"/>
      <c r="E78" s="12" t="n"/>
      <c r="F78" s="11" t="n"/>
      <c r="G78" s="11" t="n"/>
    </row>
    <row r="79">
      <c r="A79" s="10">
        <f>IF(B79="","",ROW()-5)</f>
        <v/>
      </c>
      <c r="B79" s="11" t="n"/>
      <c r="C79" s="11" t="n"/>
      <c r="D79" s="11" t="n"/>
      <c r="E79" s="12" t="n"/>
      <c r="F79" s="11" t="n"/>
      <c r="G79" s="11" t="n"/>
    </row>
    <row r="80">
      <c r="A80" s="10">
        <f>IF(B80="","",ROW()-5)</f>
        <v/>
      </c>
      <c r="B80" s="11" t="n"/>
      <c r="C80" s="11" t="n"/>
      <c r="D80" s="11" t="n"/>
      <c r="E80" s="12" t="n"/>
      <c r="F80" s="11" t="n"/>
      <c r="G80" s="11" t="n"/>
    </row>
    <row r="81">
      <c r="A81" s="10">
        <f>IF(B81="","",ROW()-5)</f>
        <v/>
      </c>
      <c r="B81" s="11" t="n"/>
      <c r="C81" s="11" t="n"/>
      <c r="D81" s="11" t="n"/>
      <c r="E81" s="12" t="n"/>
      <c r="F81" s="11" t="n"/>
      <c r="G81" s="11" t="n"/>
    </row>
    <row r="82">
      <c r="A82" s="10">
        <f>IF(B82="","",ROW()-5)</f>
        <v/>
      </c>
      <c r="B82" s="11" t="n"/>
      <c r="C82" s="11" t="n"/>
      <c r="D82" s="11" t="n"/>
      <c r="E82" s="12" t="n"/>
      <c r="F82" s="11" t="n"/>
      <c r="G82" s="11" t="n"/>
    </row>
    <row r="83">
      <c r="A83" s="10">
        <f>IF(B83="","",ROW()-5)</f>
        <v/>
      </c>
      <c r="B83" s="11" t="n"/>
      <c r="C83" s="11" t="n"/>
      <c r="D83" s="11" t="n"/>
      <c r="E83" s="12" t="n"/>
      <c r="F83" s="11" t="n"/>
      <c r="G83" s="11" t="n"/>
    </row>
    <row r="84">
      <c r="A84" s="10">
        <f>IF(B84="","",ROW()-5)</f>
        <v/>
      </c>
      <c r="B84" s="11" t="n"/>
      <c r="C84" s="11" t="n"/>
      <c r="D84" s="11" t="n"/>
      <c r="E84" s="12" t="n"/>
      <c r="F84" s="11" t="n"/>
      <c r="G84" s="11" t="n"/>
    </row>
    <row r="85">
      <c r="A85" s="10">
        <f>IF(B85="","",ROW()-5)</f>
        <v/>
      </c>
      <c r="B85" s="11" t="n"/>
      <c r="C85" s="11" t="n"/>
      <c r="D85" s="11" t="n"/>
      <c r="E85" s="12" t="n"/>
      <c r="F85" s="11" t="n"/>
      <c r="G85" s="11" t="n"/>
    </row>
    <row r="86">
      <c r="A86" s="10">
        <f>IF(B86="","",ROW()-5)</f>
        <v/>
      </c>
      <c r="B86" s="11" t="n"/>
      <c r="C86" s="11" t="n"/>
      <c r="D86" s="11" t="n"/>
      <c r="E86" s="12" t="n"/>
      <c r="F86" s="11" t="n"/>
      <c r="G86" s="11" t="n"/>
    </row>
    <row r="87">
      <c r="A87" s="10">
        <f>IF(B87="","",ROW()-5)</f>
        <v/>
      </c>
      <c r="B87" s="11" t="n"/>
      <c r="C87" s="11" t="n"/>
      <c r="D87" s="11" t="n"/>
      <c r="E87" s="12" t="n"/>
      <c r="F87" s="11" t="n"/>
      <c r="G87" s="11" t="n"/>
    </row>
    <row r="88">
      <c r="A88" s="10">
        <f>IF(B88="","",ROW()-5)</f>
        <v/>
      </c>
      <c r="B88" s="11" t="n"/>
      <c r="C88" s="11" t="n"/>
      <c r="D88" s="11" t="n"/>
      <c r="E88" s="12" t="n"/>
      <c r="F88" s="11" t="n"/>
      <c r="G88" s="11" t="n"/>
    </row>
    <row r="89">
      <c r="A89" s="10">
        <f>IF(B89="","",ROW()-5)</f>
        <v/>
      </c>
      <c r="B89" s="11" t="n"/>
      <c r="C89" s="11" t="n"/>
      <c r="D89" s="11" t="n"/>
      <c r="E89" s="12" t="n"/>
      <c r="F89" s="11" t="n"/>
      <c r="G89" s="11" t="n"/>
    </row>
    <row r="90">
      <c r="A90" s="10">
        <f>IF(B90="","",ROW()-5)</f>
        <v/>
      </c>
      <c r="B90" s="11" t="n"/>
      <c r="C90" s="11" t="n"/>
      <c r="D90" s="11" t="n"/>
      <c r="E90" s="12" t="n"/>
      <c r="F90" s="11" t="n"/>
      <c r="G90" s="11" t="n"/>
    </row>
    <row r="91">
      <c r="A91" s="10">
        <f>IF(B91="","",ROW()-5)</f>
        <v/>
      </c>
      <c r="B91" s="11" t="n"/>
      <c r="C91" s="11" t="n"/>
      <c r="D91" s="11" t="n"/>
      <c r="E91" s="12" t="n"/>
      <c r="F91" s="11" t="n"/>
      <c r="G91" s="11" t="n"/>
    </row>
    <row r="92">
      <c r="A92" s="10">
        <f>IF(B92="","",ROW()-5)</f>
        <v/>
      </c>
      <c r="B92" s="11" t="n"/>
      <c r="C92" s="11" t="n"/>
      <c r="D92" s="11" t="n"/>
      <c r="E92" s="12" t="n"/>
      <c r="F92" s="11" t="n"/>
      <c r="G92" s="11" t="n"/>
    </row>
    <row r="93">
      <c r="A93" s="10">
        <f>IF(B93="","",ROW()-5)</f>
        <v/>
      </c>
      <c r="B93" s="11" t="n"/>
      <c r="C93" s="11" t="n"/>
      <c r="D93" s="11" t="n"/>
      <c r="E93" s="12" t="n"/>
      <c r="F93" s="11" t="n"/>
      <c r="G93" s="11" t="n"/>
    </row>
    <row r="94">
      <c r="A94" s="10">
        <f>IF(B94="","",ROW()-5)</f>
        <v/>
      </c>
      <c r="B94" s="11" t="n"/>
      <c r="C94" s="11" t="n"/>
      <c r="D94" s="11" t="n"/>
      <c r="E94" s="12" t="n"/>
      <c r="F94" s="11" t="n"/>
      <c r="G94" s="11" t="n"/>
    </row>
    <row r="95">
      <c r="A95" s="10">
        <f>IF(B95="","",ROW()-5)</f>
        <v/>
      </c>
      <c r="B95" s="11" t="n"/>
      <c r="C95" s="11" t="n"/>
      <c r="D95" s="11" t="n"/>
      <c r="E95" s="12" t="n"/>
      <c r="F95" s="11" t="n"/>
      <c r="G95" s="11" t="n"/>
    </row>
    <row r="96">
      <c r="A96" s="10">
        <f>IF(B96="","",ROW()-5)</f>
        <v/>
      </c>
      <c r="B96" s="11" t="n"/>
      <c r="C96" s="11" t="n"/>
      <c r="D96" s="11" t="n"/>
      <c r="E96" s="12" t="n"/>
      <c r="F96" s="11" t="n"/>
      <c r="G96" s="11" t="n"/>
    </row>
    <row r="97">
      <c r="A97" s="10">
        <f>IF(B97="","",ROW()-5)</f>
        <v/>
      </c>
      <c r="B97" s="11" t="n"/>
      <c r="C97" s="11" t="n"/>
      <c r="D97" s="11" t="n"/>
      <c r="E97" s="12" t="n"/>
      <c r="F97" s="11" t="n"/>
      <c r="G97" s="11" t="n"/>
    </row>
    <row r="98">
      <c r="A98" s="10">
        <f>IF(B98="","",ROW()-5)</f>
        <v/>
      </c>
      <c r="B98" s="11" t="n"/>
      <c r="C98" s="11" t="n"/>
      <c r="D98" s="11" t="n"/>
      <c r="E98" s="12" t="n"/>
      <c r="F98" s="11" t="n"/>
      <c r="G98" s="11" t="n"/>
    </row>
    <row r="99">
      <c r="A99" s="10">
        <f>IF(B99="","",ROW()-5)</f>
        <v/>
      </c>
      <c r="B99" s="11" t="n"/>
      <c r="C99" s="11" t="n"/>
      <c r="D99" s="11" t="n"/>
      <c r="E99" s="12" t="n"/>
      <c r="F99" s="11" t="n"/>
      <c r="G99" s="11" t="n"/>
    </row>
    <row r="100">
      <c r="A100" s="10">
        <f>IF(B100="","",ROW()-5)</f>
        <v/>
      </c>
      <c r="B100" s="11" t="n"/>
      <c r="C100" s="11" t="n"/>
      <c r="D100" s="11" t="n"/>
      <c r="E100" s="12" t="n"/>
      <c r="F100" s="11" t="n"/>
      <c r="G100" s="11" t="n"/>
    </row>
    <row r="101">
      <c r="A101" s="10">
        <f>IF(B101="","",ROW()-5)</f>
        <v/>
      </c>
      <c r="B101" s="11" t="n"/>
      <c r="C101" s="11" t="n"/>
      <c r="D101" s="11" t="n"/>
      <c r="E101" s="12" t="n"/>
      <c r="F101" s="11" t="n"/>
      <c r="G101" s="11" t="n"/>
    </row>
    <row r="102">
      <c r="A102" s="10">
        <f>IF(B102="","",ROW()-5)</f>
        <v/>
      </c>
      <c r="B102" s="11" t="n"/>
      <c r="C102" s="11" t="n"/>
      <c r="D102" s="11" t="n"/>
      <c r="E102" s="12" t="n"/>
      <c r="F102" s="11" t="n"/>
      <c r="G102" s="11" t="n"/>
    </row>
    <row r="103">
      <c r="A103" s="10">
        <f>IF(B103="","",ROW()-5)</f>
        <v/>
      </c>
      <c r="B103" s="11" t="n"/>
      <c r="C103" s="11" t="n"/>
      <c r="D103" s="11" t="n"/>
      <c r="E103" s="12" t="n"/>
      <c r="F103" s="11" t="n"/>
      <c r="G103" s="11" t="n"/>
    </row>
    <row r="104">
      <c r="A104" s="10">
        <f>IF(B104="","",ROW()-5)</f>
        <v/>
      </c>
      <c r="B104" s="11" t="n"/>
      <c r="C104" s="11" t="n"/>
      <c r="D104" s="11" t="n"/>
      <c r="E104" s="12" t="n"/>
      <c r="F104" s="11" t="n"/>
      <c r="G104" s="11" t="n"/>
    </row>
    <row r="105">
      <c r="A105" s="10">
        <f>IF(B105="","",ROW()-5)</f>
        <v/>
      </c>
      <c r="B105" s="11" t="n"/>
      <c r="C105" s="11" t="n"/>
      <c r="D105" s="11" t="n"/>
      <c r="E105" s="12" t="n"/>
      <c r="F105" s="11" t="n"/>
      <c r="G105" s="11" t="n"/>
    </row>
    <row r="106">
      <c r="A106" s="10">
        <f>IF(B106="","",ROW()-5)</f>
        <v/>
      </c>
      <c r="B106" s="11" t="n"/>
      <c r="C106" s="11" t="n"/>
      <c r="D106" s="11" t="n"/>
      <c r="E106" s="12" t="n"/>
      <c r="F106" s="11" t="n"/>
      <c r="G106" s="11" t="n"/>
    </row>
    <row r="107">
      <c r="A107" s="10">
        <f>IF(B107="","",ROW()-5)</f>
        <v/>
      </c>
      <c r="B107" s="11" t="n"/>
      <c r="C107" s="11" t="n"/>
      <c r="D107" s="11" t="n"/>
      <c r="E107" s="12" t="n"/>
      <c r="F107" s="11" t="n"/>
      <c r="G107" s="11" t="n"/>
    </row>
    <row r="108">
      <c r="A108" s="10">
        <f>IF(B108="","",ROW()-5)</f>
        <v/>
      </c>
      <c r="B108" s="11" t="n"/>
      <c r="C108" s="11" t="n"/>
      <c r="D108" s="11" t="n"/>
      <c r="E108" s="12" t="n"/>
      <c r="F108" s="11" t="n"/>
      <c r="G108" s="11" t="n"/>
    </row>
    <row r="109">
      <c r="A109" s="10">
        <f>IF(B109="","",ROW()-5)</f>
        <v/>
      </c>
      <c r="B109" s="11" t="n"/>
      <c r="C109" s="11" t="n"/>
      <c r="D109" s="11" t="n"/>
      <c r="E109" s="12" t="n"/>
      <c r="F109" s="11" t="n"/>
      <c r="G109" s="11" t="n"/>
    </row>
    <row r="110">
      <c r="A110" s="10">
        <f>IF(B110="","",ROW()-5)</f>
        <v/>
      </c>
      <c r="B110" s="11" t="n"/>
      <c r="C110" s="11" t="n"/>
      <c r="D110" s="11" t="n"/>
      <c r="E110" s="12" t="n"/>
      <c r="F110" s="11" t="n"/>
      <c r="G110" s="11" t="n"/>
    </row>
    <row r="111">
      <c r="A111" s="10">
        <f>IF(B111="","",ROW()-5)</f>
        <v/>
      </c>
      <c r="B111" s="11" t="n"/>
      <c r="C111" s="11" t="n"/>
      <c r="D111" s="11" t="n"/>
      <c r="E111" s="12" t="n"/>
      <c r="F111" s="11" t="n"/>
      <c r="G111" s="11" t="n"/>
    </row>
    <row r="112">
      <c r="A112" s="10">
        <f>IF(B112="","",ROW()-5)</f>
        <v/>
      </c>
      <c r="B112" s="11" t="n"/>
      <c r="C112" s="11" t="n"/>
      <c r="D112" s="11" t="n"/>
      <c r="E112" s="12" t="n"/>
      <c r="F112" s="11" t="n"/>
      <c r="G112" s="11" t="n"/>
    </row>
    <row r="113">
      <c r="A113" s="10">
        <f>IF(B113="","",ROW()-5)</f>
        <v/>
      </c>
      <c r="B113" s="11" t="n"/>
      <c r="C113" s="11" t="n"/>
      <c r="D113" s="11" t="n"/>
      <c r="E113" s="12" t="n"/>
      <c r="F113" s="11" t="n"/>
      <c r="G113" s="11" t="n"/>
    </row>
    <row r="114">
      <c r="A114" s="10">
        <f>IF(B114="","",ROW()-5)</f>
        <v/>
      </c>
      <c r="B114" s="11" t="n"/>
      <c r="C114" s="11" t="n"/>
      <c r="D114" s="11" t="n"/>
      <c r="E114" s="12" t="n"/>
      <c r="F114" s="11" t="n"/>
      <c r="G114" s="11" t="n"/>
    </row>
    <row r="115">
      <c r="A115" s="10">
        <f>IF(B115="","",ROW()-5)</f>
        <v/>
      </c>
      <c r="B115" s="11" t="n"/>
      <c r="C115" s="11" t="n"/>
      <c r="D115" s="11" t="n"/>
      <c r="E115" s="12" t="n"/>
      <c r="F115" s="11" t="n"/>
      <c r="G115" s="11" t="n"/>
    </row>
    <row r="116">
      <c r="A116" s="10">
        <f>IF(B116="","",ROW()-5)</f>
        <v/>
      </c>
      <c r="B116" s="11" t="n"/>
      <c r="C116" s="11" t="n"/>
      <c r="D116" s="11" t="n"/>
      <c r="E116" s="12" t="n"/>
      <c r="F116" s="11" t="n"/>
      <c r="G116" s="11" t="n"/>
    </row>
    <row r="117">
      <c r="A117" s="10">
        <f>IF(B117="","",ROW()-5)</f>
        <v/>
      </c>
      <c r="B117" s="11" t="n"/>
      <c r="C117" s="11" t="n"/>
      <c r="D117" s="11" t="n"/>
      <c r="E117" s="12" t="n"/>
      <c r="F117" s="11" t="n"/>
      <c r="G117" s="11" t="n"/>
    </row>
    <row r="118">
      <c r="A118" s="10">
        <f>IF(B118="","",ROW()-5)</f>
        <v/>
      </c>
      <c r="B118" s="11" t="n"/>
      <c r="C118" s="11" t="n"/>
      <c r="D118" s="11" t="n"/>
      <c r="E118" s="12" t="n"/>
      <c r="F118" s="11" t="n"/>
      <c r="G118" s="11" t="n"/>
    </row>
    <row r="119">
      <c r="A119" s="10">
        <f>IF(B119="","",ROW()-5)</f>
        <v/>
      </c>
      <c r="B119" s="11" t="n"/>
      <c r="C119" s="11" t="n"/>
      <c r="D119" s="11" t="n"/>
      <c r="E119" s="12" t="n"/>
      <c r="F119" s="11" t="n"/>
      <c r="G119" s="11" t="n"/>
    </row>
    <row r="120">
      <c r="A120" s="10">
        <f>IF(B120="","",ROW()-5)</f>
        <v/>
      </c>
      <c r="B120" s="11" t="n"/>
      <c r="C120" s="11" t="n"/>
      <c r="D120" s="11" t="n"/>
      <c r="E120" s="12" t="n"/>
      <c r="F120" s="11" t="n"/>
      <c r="G120" s="11" t="n"/>
    </row>
    <row r="121">
      <c r="A121" s="10">
        <f>IF(B121="","",ROW()-5)</f>
        <v/>
      </c>
      <c r="B121" s="11" t="n"/>
      <c r="C121" s="11" t="n"/>
      <c r="D121" s="11" t="n"/>
      <c r="E121" s="12" t="n"/>
      <c r="F121" s="11" t="n"/>
      <c r="G121" s="11" t="n"/>
    </row>
    <row r="122">
      <c r="A122" s="10">
        <f>IF(B122="","",ROW()-5)</f>
        <v/>
      </c>
      <c r="B122" s="11" t="n"/>
      <c r="C122" s="11" t="n"/>
      <c r="D122" s="11" t="n"/>
      <c r="E122" s="12" t="n"/>
      <c r="F122" s="11" t="n"/>
      <c r="G122" s="11" t="n"/>
    </row>
    <row r="123">
      <c r="A123" s="10">
        <f>IF(B123="","",ROW()-5)</f>
        <v/>
      </c>
      <c r="B123" s="11" t="n"/>
      <c r="C123" s="11" t="n"/>
      <c r="D123" s="11" t="n"/>
      <c r="E123" s="12" t="n"/>
      <c r="F123" s="11" t="n"/>
      <c r="G123" s="11" t="n"/>
    </row>
    <row r="124">
      <c r="A124" s="10">
        <f>IF(B124="","",ROW()-5)</f>
        <v/>
      </c>
      <c r="B124" s="11" t="n"/>
      <c r="C124" s="11" t="n"/>
      <c r="D124" s="11" t="n"/>
      <c r="E124" s="12" t="n"/>
      <c r="F124" s="11" t="n"/>
      <c r="G124" s="11" t="n"/>
    </row>
    <row r="125">
      <c r="A125" s="10">
        <f>IF(B125="","",ROW()-5)</f>
        <v/>
      </c>
      <c r="B125" s="11" t="n"/>
      <c r="C125" s="11" t="n"/>
      <c r="D125" s="11" t="n"/>
      <c r="E125" s="12" t="n"/>
      <c r="F125" s="11" t="n"/>
      <c r="G125" s="11" t="n"/>
    </row>
    <row r="126">
      <c r="A126" s="10">
        <f>IF(B126="","",ROW()-5)</f>
        <v/>
      </c>
      <c r="B126" s="11" t="n"/>
      <c r="C126" s="11" t="n"/>
      <c r="D126" s="11" t="n"/>
      <c r="E126" s="12" t="n"/>
      <c r="F126" s="11" t="n"/>
      <c r="G126" s="11" t="n"/>
    </row>
    <row r="127">
      <c r="A127" s="10">
        <f>IF(B127="","",ROW()-5)</f>
        <v/>
      </c>
      <c r="B127" s="11" t="n"/>
      <c r="C127" s="11" t="n"/>
      <c r="D127" s="11" t="n"/>
      <c r="E127" s="12" t="n"/>
      <c r="F127" s="11" t="n"/>
      <c r="G127" s="11" t="n"/>
    </row>
    <row r="128">
      <c r="A128" s="10">
        <f>IF(B128="","",ROW()-5)</f>
        <v/>
      </c>
      <c r="B128" s="11" t="n"/>
      <c r="C128" s="11" t="n"/>
      <c r="D128" s="11" t="n"/>
      <c r="E128" s="12" t="n"/>
      <c r="F128" s="11" t="n"/>
      <c r="G128" s="11" t="n"/>
    </row>
    <row r="129">
      <c r="A129" s="10">
        <f>IF(B129="","",ROW()-5)</f>
        <v/>
      </c>
      <c r="B129" s="11" t="n"/>
      <c r="C129" s="11" t="n"/>
      <c r="D129" s="11" t="n"/>
      <c r="E129" s="12" t="n"/>
      <c r="F129" s="11" t="n"/>
      <c r="G129" s="11" t="n"/>
    </row>
    <row r="130">
      <c r="A130" s="10">
        <f>IF(B130="","",ROW()-5)</f>
        <v/>
      </c>
      <c r="B130" s="11" t="n"/>
      <c r="C130" s="11" t="n"/>
      <c r="D130" s="11" t="n"/>
      <c r="E130" s="12" t="n"/>
      <c r="F130" s="11" t="n"/>
      <c r="G130" s="11" t="n"/>
    </row>
    <row r="131">
      <c r="A131" s="10">
        <f>IF(B131="","",ROW()-5)</f>
        <v/>
      </c>
      <c r="B131" s="11" t="n"/>
      <c r="C131" s="11" t="n"/>
      <c r="D131" s="11" t="n"/>
      <c r="E131" s="12" t="n"/>
      <c r="F131" s="11" t="n"/>
      <c r="G131" s="11" t="n"/>
    </row>
    <row r="132">
      <c r="A132" s="10">
        <f>IF(B132="","",ROW()-5)</f>
        <v/>
      </c>
      <c r="B132" s="11" t="n"/>
      <c r="C132" s="11" t="n"/>
      <c r="D132" s="11" t="n"/>
      <c r="E132" s="12" t="n"/>
      <c r="F132" s="11" t="n"/>
      <c r="G132" s="11" t="n"/>
    </row>
    <row r="133">
      <c r="A133" s="10">
        <f>IF(B133="","",ROW()-5)</f>
        <v/>
      </c>
      <c r="B133" s="11" t="n"/>
      <c r="C133" s="11" t="n"/>
      <c r="D133" s="11" t="n"/>
      <c r="E133" s="12" t="n"/>
      <c r="F133" s="11" t="n"/>
      <c r="G133" s="11" t="n"/>
    </row>
    <row r="134">
      <c r="A134" s="10">
        <f>IF(B134="","",ROW()-5)</f>
        <v/>
      </c>
      <c r="B134" s="11" t="n"/>
      <c r="C134" s="11" t="n"/>
      <c r="D134" s="11" t="n"/>
      <c r="E134" s="12" t="n"/>
      <c r="F134" s="11" t="n"/>
      <c r="G134" s="11" t="n"/>
    </row>
    <row r="135">
      <c r="A135" s="10">
        <f>IF(B135="","",ROW()-5)</f>
        <v/>
      </c>
      <c r="B135" s="11" t="n"/>
      <c r="C135" s="11" t="n"/>
      <c r="D135" s="11" t="n"/>
      <c r="E135" s="12" t="n"/>
      <c r="F135" s="11" t="n"/>
      <c r="G135" s="11" t="n"/>
    </row>
    <row r="136">
      <c r="A136" s="10">
        <f>IF(B136="","",ROW()-5)</f>
        <v/>
      </c>
      <c r="B136" s="11" t="n"/>
      <c r="C136" s="11" t="n"/>
      <c r="D136" s="11" t="n"/>
      <c r="E136" s="12" t="n"/>
      <c r="F136" s="11" t="n"/>
      <c r="G136" s="11" t="n"/>
    </row>
    <row r="137">
      <c r="A137" s="10">
        <f>IF(B137="","",ROW()-5)</f>
        <v/>
      </c>
      <c r="B137" s="11" t="n"/>
      <c r="C137" s="11" t="n"/>
      <c r="D137" s="11" t="n"/>
      <c r="E137" s="12" t="n"/>
      <c r="F137" s="11" t="n"/>
      <c r="G137" s="11" t="n"/>
    </row>
    <row r="138">
      <c r="A138" s="10">
        <f>IF(B138="","",ROW()-5)</f>
        <v/>
      </c>
      <c r="B138" s="11" t="n"/>
      <c r="C138" s="11" t="n"/>
      <c r="D138" s="11" t="n"/>
      <c r="E138" s="12" t="n"/>
      <c r="F138" s="11" t="n"/>
      <c r="G138" s="11" t="n"/>
    </row>
    <row r="139">
      <c r="A139" s="10">
        <f>IF(B139="","",ROW()-5)</f>
        <v/>
      </c>
      <c r="B139" s="11" t="n"/>
      <c r="C139" s="11" t="n"/>
      <c r="D139" s="11" t="n"/>
      <c r="E139" s="12" t="n"/>
      <c r="F139" s="11" t="n"/>
      <c r="G139" s="11" t="n"/>
    </row>
    <row r="140">
      <c r="A140" s="10">
        <f>IF(B140="","",ROW()-5)</f>
        <v/>
      </c>
      <c r="B140" s="11" t="n"/>
      <c r="C140" s="11" t="n"/>
      <c r="D140" s="11" t="n"/>
      <c r="E140" s="12" t="n"/>
      <c r="F140" s="11" t="n"/>
      <c r="G140" s="11" t="n"/>
    </row>
    <row r="141">
      <c r="A141" s="10">
        <f>IF(B141="","",ROW()-5)</f>
        <v/>
      </c>
      <c r="B141" s="11" t="n"/>
      <c r="C141" s="11" t="n"/>
      <c r="D141" s="11" t="n"/>
      <c r="E141" s="12" t="n"/>
      <c r="F141" s="11" t="n"/>
      <c r="G141" s="11" t="n"/>
    </row>
    <row r="142">
      <c r="A142" s="10">
        <f>IF(B142="","",ROW()-5)</f>
        <v/>
      </c>
      <c r="B142" s="11" t="n"/>
      <c r="C142" s="11" t="n"/>
      <c r="D142" s="11" t="n"/>
      <c r="E142" s="12" t="n"/>
      <c r="F142" s="11" t="n"/>
      <c r="G142" s="11" t="n"/>
    </row>
    <row r="143">
      <c r="A143" s="10">
        <f>IF(B143="","",ROW()-5)</f>
        <v/>
      </c>
      <c r="B143" s="11" t="n"/>
      <c r="C143" s="11" t="n"/>
      <c r="D143" s="11" t="n"/>
      <c r="E143" s="12" t="n"/>
      <c r="F143" s="11" t="n"/>
      <c r="G143" s="11" t="n"/>
    </row>
    <row r="144">
      <c r="A144" s="10">
        <f>IF(B144="","",ROW()-5)</f>
        <v/>
      </c>
      <c r="B144" s="11" t="n"/>
      <c r="C144" s="11" t="n"/>
      <c r="D144" s="11" t="n"/>
      <c r="E144" s="12" t="n"/>
      <c r="F144" s="11" t="n"/>
      <c r="G144" s="11" t="n"/>
    </row>
    <row r="145">
      <c r="A145" s="10">
        <f>IF(B145="","",ROW()-5)</f>
        <v/>
      </c>
      <c r="B145" s="11" t="n"/>
      <c r="C145" s="11" t="n"/>
      <c r="D145" s="11" t="n"/>
      <c r="E145" s="12" t="n"/>
      <c r="F145" s="11" t="n"/>
      <c r="G145" s="11" t="n"/>
    </row>
    <row r="146">
      <c r="A146" s="10">
        <f>IF(B146="","",ROW()-5)</f>
        <v/>
      </c>
      <c r="B146" s="11" t="n"/>
      <c r="C146" s="11" t="n"/>
      <c r="D146" s="11" t="n"/>
      <c r="E146" s="12" t="n"/>
      <c r="F146" s="11" t="n"/>
      <c r="G146" s="11" t="n"/>
    </row>
    <row r="147">
      <c r="A147" s="10">
        <f>IF(B147="","",ROW()-5)</f>
        <v/>
      </c>
      <c r="B147" s="11" t="n"/>
      <c r="C147" s="11" t="n"/>
      <c r="D147" s="11" t="n"/>
      <c r="E147" s="12" t="n"/>
      <c r="F147" s="11" t="n"/>
      <c r="G147" s="11" t="n"/>
    </row>
    <row r="148">
      <c r="A148" s="10">
        <f>IF(B148="","",ROW()-5)</f>
        <v/>
      </c>
      <c r="B148" s="11" t="n"/>
      <c r="C148" s="11" t="n"/>
      <c r="D148" s="11" t="n"/>
      <c r="E148" s="12" t="n"/>
      <c r="F148" s="11" t="n"/>
      <c r="G148" s="11" t="n"/>
    </row>
    <row r="149">
      <c r="A149" s="10">
        <f>IF(B149="","",ROW()-5)</f>
        <v/>
      </c>
      <c r="B149" s="11" t="n"/>
      <c r="C149" s="11" t="n"/>
      <c r="D149" s="11" t="n"/>
      <c r="E149" s="12" t="n"/>
      <c r="F149" s="11" t="n"/>
      <c r="G149" s="11" t="n"/>
    </row>
    <row r="150">
      <c r="A150" s="10">
        <f>IF(B150="","",ROW()-5)</f>
        <v/>
      </c>
      <c r="B150" s="11" t="n"/>
      <c r="C150" s="11" t="n"/>
      <c r="D150" s="11" t="n"/>
      <c r="E150" s="12" t="n"/>
      <c r="F150" s="11" t="n"/>
      <c r="G150" s="11" t="n"/>
    </row>
    <row r="151">
      <c r="A151" s="10">
        <f>IF(B151="","",ROW()-5)</f>
        <v/>
      </c>
      <c r="B151" s="11" t="n"/>
      <c r="C151" s="11" t="n"/>
      <c r="D151" s="11" t="n"/>
      <c r="E151" s="12" t="n"/>
      <c r="F151" s="11" t="n"/>
      <c r="G151" s="11" t="n"/>
    </row>
    <row r="152">
      <c r="A152" s="10">
        <f>IF(B152="","",ROW()-5)</f>
        <v/>
      </c>
      <c r="B152" s="11" t="n"/>
      <c r="C152" s="11" t="n"/>
      <c r="D152" s="11" t="n"/>
      <c r="E152" s="12" t="n"/>
      <c r="F152" s="11" t="n"/>
      <c r="G152" s="11" t="n"/>
    </row>
    <row r="153">
      <c r="A153" s="10">
        <f>IF(B153="","",ROW()-5)</f>
        <v/>
      </c>
      <c r="B153" s="11" t="n"/>
      <c r="C153" s="11" t="n"/>
      <c r="D153" s="11" t="n"/>
      <c r="E153" s="12" t="n"/>
      <c r="F153" s="11" t="n"/>
      <c r="G153" s="11" t="n"/>
    </row>
    <row r="154">
      <c r="A154" s="10">
        <f>IF(B154="","",ROW()-5)</f>
        <v/>
      </c>
      <c r="B154" s="11" t="n"/>
      <c r="C154" s="11" t="n"/>
      <c r="D154" s="11" t="n"/>
      <c r="E154" s="12" t="n"/>
      <c r="F154" s="11" t="n"/>
      <c r="G154" s="11" t="n"/>
    </row>
    <row r="155">
      <c r="A155" s="10">
        <f>IF(B155="","",ROW()-5)</f>
        <v/>
      </c>
      <c r="B155" s="11" t="n"/>
      <c r="C155" s="11" t="n"/>
      <c r="D155" s="11" t="n"/>
      <c r="E155" s="12" t="n"/>
      <c r="F155" s="11" t="n"/>
      <c r="G155" s="11" t="n"/>
    </row>
    <row r="156">
      <c r="A156" s="10">
        <f>IF(B156="","",ROW()-5)</f>
        <v/>
      </c>
      <c r="B156" s="11" t="n"/>
      <c r="C156" s="11" t="n"/>
      <c r="D156" s="11" t="n"/>
      <c r="E156" s="12" t="n"/>
      <c r="F156" s="11" t="n"/>
      <c r="G156" s="11" t="n"/>
    </row>
    <row r="157">
      <c r="A157" s="10">
        <f>IF(B157="","",ROW()-5)</f>
        <v/>
      </c>
      <c r="B157" s="11" t="n"/>
      <c r="C157" s="11" t="n"/>
      <c r="D157" s="11" t="n"/>
      <c r="E157" s="12" t="n"/>
      <c r="F157" s="11" t="n"/>
      <c r="G157" s="11" t="n"/>
    </row>
    <row r="158">
      <c r="A158" s="10">
        <f>IF(B158="","",ROW()-5)</f>
        <v/>
      </c>
      <c r="B158" s="11" t="n"/>
      <c r="C158" s="11" t="n"/>
      <c r="D158" s="11" t="n"/>
      <c r="E158" s="12" t="n"/>
      <c r="F158" s="11" t="n"/>
      <c r="G158" s="11" t="n"/>
    </row>
    <row r="159">
      <c r="A159" s="10">
        <f>IF(B159="","",ROW()-5)</f>
        <v/>
      </c>
      <c r="B159" s="11" t="n"/>
      <c r="C159" s="11" t="n"/>
      <c r="D159" s="11" t="n"/>
      <c r="E159" s="12" t="n"/>
      <c r="F159" s="11" t="n"/>
      <c r="G159" s="11" t="n"/>
    </row>
    <row r="160">
      <c r="A160" s="10">
        <f>IF(B160="","",ROW()-5)</f>
        <v/>
      </c>
      <c r="B160" s="11" t="n"/>
      <c r="C160" s="11" t="n"/>
      <c r="D160" s="11" t="n"/>
      <c r="E160" s="12" t="n"/>
      <c r="F160" s="11" t="n"/>
      <c r="G160" s="11" t="n"/>
    </row>
    <row r="161">
      <c r="A161" s="10">
        <f>IF(B161="","",ROW()-5)</f>
        <v/>
      </c>
      <c r="B161" s="11" t="n"/>
      <c r="C161" s="11" t="n"/>
      <c r="D161" s="11" t="n"/>
      <c r="E161" s="12" t="n"/>
      <c r="F161" s="11" t="n"/>
      <c r="G161" s="11" t="n"/>
    </row>
    <row r="162">
      <c r="A162" s="10">
        <f>IF(B162="","",ROW()-5)</f>
        <v/>
      </c>
      <c r="B162" s="11" t="n"/>
      <c r="C162" s="11" t="n"/>
      <c r="D162" s="11" t="n"/>
      <c r="E162" s="12" t="n"/>
      <c r="F162" s="11" t="n"/>
      <c r="G162" s="11" t="n"/>
    </row>
    <row r="163">
      <c r="A163" s="10">
        <f>IF(B163="","",ROW()-5)</f>
        <v/>
      </c>
      <c r="B163" s="11" t="n"/>
      <c r="C163" s="11" t="n"/>
      <c r="D163" s="11" t="n"/>
      <c r="E163" s="12" t="n"/>
      <c r="F163" s="11" t="n"/>
      <c r="G163" s="11" t="n"/>
    </row>
    <row r="164">
      <c r="A164" s="10">
        <f>IF(B164="","",ROW()-5)</f>
        <v/>
      </c>
      <c r="B164" s="11" t="n"/>
      <c r="C164" s="11" t="n"/>
      <c r="D164" s="11" t="n"/>
      <c r="E164" s="12" t="n"/>
      <c r="F164" s="11" t="n"/>
      <c r="G164" s="11" t="n"/>
    </row>
    <row r="165">
      <c r="A165" s="10">
        <f>IF(B165="","",ROW()-5)</f>
        <v/>
      </c>
      <c r="B165" s="11" t="n"/>
      <c r="C165" s="11" t="n"/>
      <c r="D165" s="11" t="n"/>
      <c r="E165" s="12" t="n"/>
      <c r="F165" s="11" t="n"/>
      <c r="G165" s="11" t="n"/>
    </row>
    <row r="166">
      <c r="A166" s="10">
        <f>IF(B166="","",ROW()-5)</f>
        <v/>
      </c>
      <c r="B166" s="11" t="n"/>
      <c r="C166" s="11" t="n"/>
      <c r="D166" s="11" t="n"/>
      <c r="E166" s="12" t="n"/>
      <c r="F166" s="11" t="n"/>
      <c r="G166" s="11" t="n"/>
    </row>
    <row r="167">
      <c r="A167" s="10">
        <f>IF(B167="","",ROW()-5)</f>
        <v/>
      </c>
      <c r="B167" s="11" t="n"/>
      <c r="C167" s="11" t="n"/>
      <c r="D167" s="11" t="n"/>
      <c r="E167" s="12" t="n"/>
      <c r="F167" s="11" t="n"/>
      <c r="G167" s="11" t="n"/>
    </row>
    <row r="168">
      <c r="A168" s="10">
        <f>IF(B168="","",ROW()-5)</f>
        <v/>
      </c>
      <c r="B168" s="11" t="n"/>
      <c r="C168" s="11" t="n"/>
      <c r="D168" s="11" t="n"/>
      <c r="E168" s="12" t="n"/>
      <c r="F168" s="11" t="n"/>
      <c r="G168" s="11" t="n"/>
    </row>
    <row r="169">
      <c r="A169" s="10">
        <f>IF(B169="","",ROW()-5)</f>
        <v/>
      </c>
      <c r="B169" s="11" t="n"/>
      <c r="C169" s="11" t="n"/>
      <c r="D169" s="11" t="n"/>
      <c r="E169" s="12" t="n"/>
      <c r="F169" s="11" t="n"/>
      <c r="G169" s="11" t="n"/>
    </row>
    <row r="170">
      <c r="A170" s="10">
        <f>IF(B170="","",ROW()-5)</f>
        <v/>
      </c>
      <c r="B170" s="11" t="n"/>
      <c r="C170" s="11" t="n"/>
      <c r="D170" s="11" t="n"/>
      <c r="E170" s="12" t="n"/>
      <c r="F170" s="11" t="n"/>
      <c r="G170" s="11" t="n"/>
    </row>
    <row r="171">
      <c r="A171" s="10">
        <f>IF(B171="","",ROW()-5)</f>
        <v/>
      </c>
      <c r="B171" s="11" t="n"/>
      <c r="C171" s="11" t="n"/>
      <c r="D171" s="11" t="n"/>
      <c r="E171" s="12" t="n"/>
      <c r="F171" s="11" t="n"/>
      <c r="G171" s="11" t="n"/>
    </row>
    <row r="172">
      <c r="A172" s="10">
        <f>IF(B172="","",ROW()-5)</f>
        <v/>
      </c>
      <c r="B172" s="11" t="n"/>
      <c r="C172" s="11" t="n"/>
      <c r="D172" s="11" t="n"/>
      <c r="E172" s="12" t="n"/>
      <c r="F172" s="11" t="n"/>
      <c r="G172" s="11" t="n"/>
    </row>
    <row r="173">
      <c r="A173" s="10">
        <f>IF(B173="","",ROW()-5)</f>
        <v/>
      </c>
      <c r="B173" s="11" t="n"/>
      <c r="C173" s="11" t="n"/>
      <c r="D173" s="11" t="n"/>
      <c r="E173" s="12" t="n"/>
      <c r="F173" s="11" t="n"/>
      <c r="G173" s="11" t="n"/>
    </row>
    <row r="174">
      <c r="A174" s="10">
        <f>IF(B174="","",ROW()-5)</f>
        <v/>
      </c>
      <c r="B174" s="11" t="n"/>
      <c r="C174" s="11" t="n"/>
      <c r="D174" s="11" t="n"/>
      <c r="E174" s="12" t="n"/>
      <c r="F174" s="11" t="n"/>
      <c r="G174" s="11" t="n"/>
    </row>
    <row r="175">
      <c r="A175" s="10">
        <f>IF(B175="","",ROW()-5)</f>
        <v/>
      </c>
      <c r="B175" s="11" t="n"/>
      <c r="C175" s="11" t="n"/>
      <c r="D175" s="11" t="n"/>
      <c r="E175" s="12" t="n"/>
      <c r="F175" s="11" t="n"/>
      <c r="G175" s="11" t="n"/>
    </row>
    <row r="176">
      <c r="A176" s="10">
        <f>IF(B176="","",ROW()-5)</f>
        <v/>
      </c>
      <c r="B176" s="11" t="n"/>
      <c r="C176" s="11" t="n"/>
      <c r="D176" s="11" t="n"/>
      <c r="E176" s="12" t="n"/>
      <c r="F176" s="11" t="n"/>
      <c r="G176" s="11" t="n"/>
    </row>
    <row r="177">
      <c r="A177" s="10">
        <f>IF(B177="","",ROW()-5)</f>
        <v/>
      </c>
      <c r="B177" s="11" t="n"/>
      <c r="C177" s="11" t="n"/>
      <c r="D177" s="11" t="n"/>
      <c r="E177" s="12" t="n"/>
      <c r="F177" s="11" t="n"/>
      <c r="G177" s="11" t="n"/>
    </row>
    <row r="178">
      <c r="A178" s="10">
        <f>IF(B178="","",ROW()-5)</f>
        <v/>
      </c>
      <c r="B178" s="11" t="n"/>
      <c r="C178" s="11" t="n"/>
      <c r="D178" s="11" t="n"/>
      <c r="E178" s="12" t="n"/>
      <c r="F178" s="11" t="n"/>
      <c r="G178" s="11" t="n"/>
    </row>
    <row r="179">
      <c r="A179" s="10">
        <f>IF(B179="","",ROW()-5)</f>
        <v/>
      </c>
      <c r="B179" s="11" t="n"/>
      <c r="C179" s="11" t="n"/>
      <c r="D179" s="11" t="n"/>
      <c r="E179" s="12" t="n"/>
      <c r="F179" s="11" t="n"/>
      <c r="G179" s="11" t="n"/>
    </row>
    <row r="180">
      <c r="A180" s="10">
        <f>IF(B180="","",ROW()-5)</f>
        <v/>
      </c>
      <c r="B180" s="11" t="n"/>
      <c r="C180" s="11" t="n"/>
      <c r="D180" s="11" t="n"/>
      <c r="E180" s="12" t="n"/>
      <c r="F180" s="11" t="n"/>
      <c r="G180" s="11" t="n"/>
    </row>
    <row r="181">
      <c r="A181" s="10">
        <f>IF(B181="","",ROW()-5)</f>
        <v/>
      </c>
      <c r="B181" s="11" t="n"/>
      <c r="C181" s="11" t="n"/>
      <c r="D181" s="11" t="n"/>
      <c r="E181" s="12" t="n"/>
      <c r="F181" s="11" t="n"/>
      <c r="G181" s="11" t="n"/>
    </row>
    <row r="182">
      <c r="A182" s="10">
        <f>IF(B182="","",ROW()-5)</f>
        <v/>
      </c>
      <c r="B182" s="11" t="n"/>
      <c r="C182" s="11" t="n"/>
      <c r="D182" s="11" t="n"/>
      <c r="E182" s="12" t="n"/>
      <c r="F182" s="11" t="n"/>
      <c r="G182" s="11" t="n"/>
    </row>
    <row r="183">
      <c r="A183" s="10">
        <f>IF(B183="","",ROW()-5)</f>
        <v/>
      </c>
      <c r="B183" s="11" t="n"/>
      <c r="C183" s="11" t="n"/>
      <c r="D183" s="11" t="n"/>
      <c r="E183" s="12" t="n"/>
      <c r="F183" s="11" t="n"/>
      <c r="G183" s="11" t="n"/>
    </row>
    <row r="184">
      <c r="A184" s="10">
        <f>IF(B184="","",ROW()-5)</f>
        <v/>
      </c>
      <c r="B184" s="11" t="n"/>
      <c r="C184" s="11" t="n"/>
      <c r="D184" s="11" t="n"/>
      <c r="E184" s="12" t="n"/>
      <c r="F184" s="11" t="n"/>
      <c r="G184" s="11" t="n"/>
    </row>
    <row r="185">
      <c r="A185" s="10">
        <f>IF(B185="","",ROW()-5)</f>
        <v/>
      </c>
      <c r="B185" s="11" t="n"/>
      <c r="C185" s="11" t="n"/>
      <c r="D185" s="11" t="n"/>
      <c r="E185" s="12" t="n"/>
      <c r="F185" s="11" t="n"/>
      <c r="G185" s="11" t="n"/>
    </row>
    <row r="186">
      <c r="A186" s="10">
        <f>IF(B186="","",ROW()-5)</f>
        <v/>
      </c>
      <c r="B186" s="11" t="n"/>
      <c r="C186" s="11" t="n"/>
      <c r="D186" s="11" t="n"/>
      <c r="E186" s="12" t="n"/>
      <c r="F186" s="11" t="n"/>
      <c r="G186" s="11" t="n"/>
    </row>
    <row r="187">
      <c r="A187" s="10">
        <f>IF(B187="","",ROW()-5)</f>
        <v/>
      </c>
      <c r="B187" s="11" t="n"/>
      <c r="C187" s="11" t="n"/>
      <c r="D187" s="11" t="n"/>
      <c r="E187" s="12" t="n"/>
      <c r="F187" s="11" t="n"/>
      <c r="G187" s="11" t="n"/>
    </row>
    <row r="188">
      <c r="A188" s="10">
        <f>IF(B188="","",ROW()-5)</f>
        <v/>
      </c>
      <c r="B188" s="11" t="n"/>
      <c r="C188" s="11" t="n"/>
      <c r="D188" s="11" t="n"/>
      <c r="E188" s="12" t="n"/>
      <c r="F188" s="11" t="n"/>
      <c r="G188" s="11" t="n"/>
    </row>
    <row r="189">
      <c r="A189" s="10">
        <f>IF(B189="","",ROW()-5)</f>
        <v/>
      </c>
      <c r="B189" s="11" t="n"/>
      <c r="C189" s="11" t="n"/>
      <c r="D189" s="11" t="n"/>
      <c r="E189" s="12" t="n"/>
      <c r="F189" s="11" t="n"/>
      <c r="G189" s="11" t="n"/>
    </row>
    <row r="190">
      <c r="A190" s="10">
        <f>IF(B190="","",ROW()-5)</f>
        <v/>
      </c>
      <c r="B190" s="11" t="n"/>
      <c r="C190" s="11" t="n"/>
      <c r="D190" s="11" t="n"/>
      <c r="E190" s="12" t="n"/>
      <c r="F190" s="11" t="n"/>
      <c r="G190" s="11" t="n"/>
    </row>
    <row r="191">
      <c r="A191" s="10">
        <f>IF(B191="","",ROW()-5)</f>
        <v/>
      </c>
      <c r="B191" s="11" t="n"/>
      <c r="C191" s="11" t="n"/>
      <c r="D191" s="11" t="n"/>
      <c r="E191" s="12" t="n"/>
      <c r="F191" s="11" t="n"/>
      <c r="G191" s="11" t="n"/>
    </row>
    <row r="192">
      <c r="A192" s="10">
        <f>IF(B192="","",ROW()-5)</f>
        <v/>
      </c>
      <c r="B192" s="11" t="n"/>
      <c r="C192" s="11" t="n"/>
      <c r="D192" s="11" t="n"/>
      <c r="E192" s="12" t="n"/>
      <c r="F192" s="11" t="n"/>
      <c r="G192" s="11" t="n"/>
    </row>
    <row r="193">
      <c r="A193" s="10">
        <f>IF(B193="","",ROW()-5)</f>
        <v/>
      </c>
      <c r="B193" s="11" t="n"/>
      <c r="C193" s="11" t="n"/>
      <c r="D193" s="11" t="n"/>
      <c r="E193" s="12" t="n"/>
      <c r="F193" s="11" t="n"/>
      <c r="G193" s="11" t="n"/>
    </row>
    <row r="194">
      <c r="A194" s="10">
        <f>IF(B194="","",ROW()-5)</f>
        <v/>
      </c>
      <c r="B194" s="11" t="n"/>
      <c r="C194" s="11" t="n"/>
      <c r="D194" s="11" t="n"/>
      <c r="E194" s="12" t="n"/>
      <c r="F194" s="11" t="n"/>
      <c r="G194" s="11" t="n"/>
    </row>
    <row r="195">
      <c r="A195" s="10">
        <f>IF(B195="","",ROW()-5)</f>
        <v/>
      </c>
      <c r="B195" s="11" t="n"/>
      <c r="C195" s="11" t="n"/>
      <c r="D195" s="11" t="n"/>
      <c r="E195" s="12" t="n"/>
      <c r="F195" s="11" t="n"/>
      <c r="G195" s="11" t="n"/>
    </row>
    <row r="196">
      <c r="A196" s="10">
        <f>IF(B196="","",ROW()-5)</f>
        <v/>
      </c>
      <c r="B196" s="11" t="n"/>
      <c r="C196" s="11" t="n"/>
      <c r="D196" s="11" t="n"/>
      <c r="E196" s="12" t="n"/>
      <c r="F196" s="11" t="n"/>
      <c r="G196" s="11" t="n"/>
    </row>
    <row r="197">
      <c r="A197" s="10">
        <f>IF(B197="","",ROW()-5)</f>
        <v/>
      </c>
      <c r="B197" s="11" t="n"/>
      <c r="C197" s="11" t="n"/>
      <c r="D197" s="11" t="n"/>
      <c r="E197" s="12" t="n"/>
      <c r="F197" s="11" t="n"/>
      <c r="G197" s="11" t="n"/>
    </row>
    <row r="198">
      <c r="A198" s="10">
        <f>IF(B198="","",ROW()-5)</f>
        <v/>
      </c>
      <c r="B198" s="11" t="n"/>
      <c r="C198" s="11" t="n"/>
      <c r="D198" s="11" t="n"/>
      <c r="E198" s="12" t="n"/>
      <c r="F198" s="11" t="n"/>
      <c r="G198" s="11" t="n"/>
    </row>
    <row r="199">
      <c r="A199" s="10">
        <f>IF(B199="","",ROW()-5)</f>
        <v/>
      </c>
      <c r="B199" s="11" t="n"/>
      <c r="C199" s="11" t="n"/>
      <c r="D199" s="11" t="n"/>
      <c r="E199" s="12" t="n"/>
      <c r="F199" s="11" t="n"/>
      <c r="G199" s="11" t="n"/>
    </row>
    <row r="200">
      <c r="A200" s="10">
        <f>IF(B200="","",ROW()-5)</f>
        <v/>
      </c>
      <c r="B200" s="11" t="n"/>
      <c r="C200" s="11" t="n"/>
      <c r="D200" s="11" t="n"/>
      <c r="E200" s="12" t="n"/>
      <c r="F200" s="11" t="n"/>
      <c r="G200" s="11" t="n"/>
    </row>
    <row r="201">
      <c r="A201" s="10">
        <f>IF(B201="","",ROW()-5)</f>
        <v/>
      </c>
      <c r="B201" s="11" t="n"/>
      <c r="C201" s="11" t="n"/>
      <c r="D201" s="11" t="n"/>
      <c r="E201" s="12" t="n"/>
      <c r="F201" s="11" t="n"/>
      <c r="G201" s="11" t="n"/>
    </row>
    <row r="202">
      <c r="A202" s="10">
        <f>IF(B202="","",ROW()-5)</f>
        <v/>
      </c>
      <c r="B202" s="11" t="n"/>
      <c r="C202" s="11" t="n"/>
      <c r="D202" s="11" t="n"/>
      <c r="E202" s="12" t="n"/>
      <c r="F202" s="11" t="n"/>
      <c r="G202" s="11" t="n"/>
    </row>
    <row r="203">
      <c r="A203" s="10">
        <f>IF(B203="","",ROW()-5)</f>
        <v/>
      </c>
      <c r="B203" s="11" t="n"/>
      <c r="C203" s="11" t="n"/>
      <c r="D203" s="11" t="n"/>
      <c r="E203" s="12" t="n"/>
      <c r="F203" s="11" t="n"/>
      <c r="G203" s="11" t="n"/>
    </row>
    <row r="204">
      <c r="A204" s="10">
        <f>IF(B204="","",ROW()-5)</f>
        <v/>
      </c>
      <c r="B204" s="11" t="n"/>
      <c r="C204" s="11" t="n"/>
      <c r="D204" s="11" t="n"/>
      <c r="E204" s="12" t="n"/>
      <c r="F204" s="11" t="n"/>
      <c r="G204" s="11" t="n"/>
    </row>
    <row r="205">
      <c r="A205" s="10">
        <f>IF(B205="","",ROW()-5)</f>
        <v/>
      </c>
      <c r="B205" s="11" t="n"/>
      <c r="C205" s="11" t="n"/>
      <c r="D205" s="11" t="n"/>
      <c r="E205" s="12" t="n"/>
      <c r="F205" s="11" t="n"/>
      <c r="G205" s="11" t="n"/>
    </row>
    <row r="206">
      <c r="A206" s="10">
        <f>IF(B206="","",ROW()-5)</f>
        <v/>
      </c>
      <c r="B206" s="11" t="n"/>
      <c r="C206" s="11" t="n"/>
      <c r="D206" s="11" t="n"/>
      <c r="E206" s="12" t="n"/>
      <c r="F206" s="11" t="n"/>
      <c r="G206" s="11" t="n"/>
    </row>
    <row r="207">
      <c r="A207" s="10">
        <f>IF(B207="","",ROW()-5)</f>
        <v/>
      </c>
      <c r="B207" s="11" t="n"/>
      <c r="C207" s="11" t="n"/>
      <c r="D207" s="11" t="n"/>
      <c r="E207" s="12" t="n"/>
      <c r="F207" s="11" t="n"/>
      <c r="G207" s="11" t="n"/>
    </row>
    <row r="208">
      <c r="A208" s="10">
        <f>IF(B208="","",ROW()-5)</f>
        <v/>
      </c>
      <c r="B208" s="11" t="n"/>
      <c r="C208" s="11" t="n"/>
      <c r="D208" s="11" t="n"/>
      <c r="E208" s="12" t="n"/>
      <c r="F208" s="11" t="n"/>
      <c r="G208" s="11" t="n"/>
    </row>
    <row r="209">
      <c r="A209" s="10">
        <f>IF(B209="","",ROW()-5)</f>
        <v/>
      </c>
      <c r="B209" s="11" t="n"/>
      <c r="C209" s="11" t="n"/>
      <c r="D209" s="11" t="n"/>
      <c r="E209" s="12" t="n"/>
      <c r="F209" s="11" t="n"/>
      <c r="G209" s="11" t="n"/>
    </row>
    <row r="210">
      <c r="A210" s="10">
        <f>IF(B210="","",ROW()-5)</f>
        <v/>
      </c>
      <c r="B210" s="11" t="n"/>
      <c r="C210" s="11" t="n"/>
      <c r="D210" s="11" t="n"/>
      <c r="E210" s="12" t="n"/>
      <c r="F210" s="11" t="n"/>
      <c r="G210" s="11" t="n"/>
    </row>
    <row r="211">
      <c r="A211" s="10">
        <f>IF(B211="","",ROW()-5)</f>
        <v/>
      </c>
      <c r="B211" s="11" t="n"/>
      <c r="C211" s="11" t="n"/>
      <c r="D211" s="11" t="n"/>
      <c r="E211" s="12" t="n"/>
      <c r="F211" s="11" t="n"/>
      <c r="G211" s="11" t="n"/>
    </row>
    <row r="212">
      <c r="A212" s="10">
        <f>IF(B212="","",ROW()-5)</f>
        <v/>
      </c>
      <c r="B212" s="11" t="n"/>
      <c r="C212" s="11" t="n"/>
      <c r="D212" s="11" t="n"/>
      <c r="E212" s="12" t="n"/>
      <c r="F212" s="11" t="n"/>
      <c r="G212" s="11" t="n"/>
    </row>
    <row r="213">
      <c r="A213" s="10">
        <f>IF(B213="","",ROW()-5)</f>
        <v/>
      </c>
      <c r="B213" s="11" t="n"/>
      <c r="C213" s="11" t="n"/>
      <c r="D213" s="11" t="n"/>
      <c r="E213" s="12" t="n"/>
      <c r="F213" s="11" t="n"/>
      <c r="G213" s="11" t="n"/>
    </row>
    <row r="214">
      <c r="A214" s="10">
        <f>IF(B214="","",ROW()-5)</f>
        <v/>
      </c>
      <c r="B214" s="11" t="n"/>
      <c r="C214" s="11" t="n"/>
      <c r="D214" s="11" t="n"/>
      <c r="E214" s="12" t="n"/>
      <c r="F214" s="11" t="n"/>
      <c r="G214" s="11" t="n"/>
    </row>
    <row r="215">
      <c r="A215" s="10">
        <f>IF(B215="","",ROW()-5)</f>
        <v/>
      </c>
      <c r="B215" s="11" t="n"/>
      <c r="C215" s="11" t="n"/>
      <c r="D215" s="11" t="n"/>
      <c r="E215" s="12" t="n"/>
      <c r="F215" s="11" t="n"/>
      <c r="G215" s="11" t="n"/>
    </row>
    <row r="216">
      <c r="A216" s="10">
        <f>IF(B216="","",ROW()-5)</f>
        <v/>
      </c>
      <c r="B216" s="11" t="n"/>
      <c r="C216" s="11" t="n"/>
      <c r="D216" s="11" t="n"/>
      <c r="E216" s="12" t="n"/>
      <c r="F216" s="11" t="n"/>
      <c r="G216" s="11" t="n"/>
    </row>
    <row r="217">
      <c r="A217" s="10">
        <f>IF(B217="","",ROW()-5)</f>
        <v/>
      </c>
      <c r="B217" s="11" t="n"/>
      <c r="C217" s="11" t="n"/>
      <c r="D217" s="11" t="n"/>
      <c r="E217" s="12" t="n"/>
      <c r="F217" s="11" t="n"/>
      <c r="G217" s="11" t="n"/>
    </row>
    <row r="218">
      <c r="A218" s="10">
        <f>IF(B218="","",ROW()-5)</f>
        <v/>
      </c>
      <c r="B218" s="11" t="n"/>
      <c r="C218" s="11" t="n"/>
      <c r="D218" s="11" t="n"/>
      <c r="E218" s="12" t="n"/>
      <c r="F218" s="11" t="n"/>
      <c r="G218" s="11" t="n"/>
    </row>
    <row r="219">
      <c r="A219" s="10">
        <f>IF(B219="","",ROW()-5)</f>
        <v/>
      </c>
      <c r="B219" s="11" t="n"/>
      <c r="C219" s="11" t="n"/>
      <c r="D219" s="11" t="n"/>
      <c r="E219" s="12" t="n"/>
      <c r="F219" s="11" t="n"/>
      <c r="G219" s="11" t="n"/>
    </row>
    <row r="220">
      <c r="A220" s="10">
        <f>IF(B220="","",ROW()-5)</f>
        <v/>
      </c>
      <c r="B220" s="11" t="n"/>
      <c r="C220" s="11" t="n"/>
      <c r="D220" s="11" t="n"/>
      <c r="E220" s="12" t="n"/>
      <c r="F220" s="11" t="n"/>
      <c r="G220" s="11" t="n"/>
    </row>
    <row r="221">
      <c r="A221" s="10">
        <f>IF(B221="","",ROW()-5)</f>
        <v/>
      </c>
      <c r="B221" s="11" t="n"/>
      <c r="C221" s="11" t="n"/>
      <c r="D221" s="11" t="n"/>
      <c r="E221" s="12" t="n"/>
      <c r="F221" s="11" t="n"/>
      <c r="G221" s="11" t="n"/>
    </row>
    <row r="222">
      <c r="A222" s="10">
        <f>IF(B222="","",ROW()-5)</f>
        <v/>
      </c>
      <c r="B222" s="11" t="n"/>
      <c r="C222" s="11" t="n"/>
      <c r="D222" s="11" t="n"/>
      <c r="E222" s="12" t="n"/>
      <c r="F222" s="11" t="n"/>
      <c r="G222" s="11" t="n"/>
    </row>
    <row r="223">
      <c r="A223" s="10">
        <f>IF(B223="","",ROW()-5)</f>
        <v/>
      </c>
      <c r="B223" s="11" t="n"/>
      <c r="C223" s="11" t="n"/>
      <c r="D223" s="11" t="n"/>
      <c r="E223" s="12" t="n"/>
      <c r="F223" s="11" t="n"/>
      <c r="G223" s="11" t="n"/>
    </row>
    <row r="224">
      <c r="A224" s="10">
        <f>IF(B224="","",ROW()-5)</f>
        <v/>
      </c>
      <c r="B224" s="11" t="n"/>
      <c r="C224" s="11" t="n"/>
      <c r="D224" s="11" t="n"/>
      <c r="E224" s="12" t="n"/>
      <c r="F224" s="11" t="n"/>
      <c r="G224" s="11" t="n"/>
    </row>
    <row r="225">
      <c r="A225" s="10">
        <f>IF(B225="","",ROW()-5)</f>
        <v/>
      </c>
      <c r="B225" s="11" t="n"/>
      <c r="C225" s="11" t="n"/>
      <c r="D225" s="11" t="n"/>
      <c r="E225" s="12" t="n"/>
      <c r="F225" s="11" t="n"/>
      <c r="G225" s="11" t="n"/>
    </row>
    <row r="226">
      <c r="A226" s="10">
        <f>IF(B226="","",ROW()-5)</f>
        <v/>
      </c>
      <c r="B226" s="11" t="n"/>
      <c r="C226" s="11" t="n"/>
      <c r="D226" s="11" t="n"/>
      <c r="E226" s="12" t="n"/>
      <c r="F226" s="11" t="n"/>
      <c r="G226" s="11" t="n"/>
    </row>
    <row r="227">
      <c r="A227" s="10">
        <f>IF(B227="","",ROW()-5)</f>
        <v/>
      </c>
      <c r="B227" s="11" t="n"/>
      <c r="C227" s="11" t="n"/>
      <c r="D227" s="11" t="n"/>
      <c r="E227" s="12" t="n"/>
      <c r="F227" s="11" t="n"/>
      <c r="G227" s="11" t="n"/>
    </row>
    <row r="228">
      <c r="A228" s="10">
        <f>IF(B228="","",ROW()-5)</f>
        <v/>
      </c>
      <c r="B228" s="11" t="n"/>
      <c r="C228" s="11" t="n"/>
      <c r="D228" s="11" t="n"/>
      <c r="E228" s="12" t="n"/>
      <c r="F228" s="11" t="n"/>
      <c r="G228" s="11" t="n"/>
    </row>
    <row r="229">
      <c r="A229" s="10">
        <f>IF(B229="","",ROW()-5)</f>
        <v/>
      </c>
      <c r="B229" s="11" t="n"/>
      <c r="C229" s="11" t="n"/>
      <c r="D229" s="11" t="n"/>
      <c r="E229" s="12" t="n"/>
      <c r="F229" s="11" t="n"/>
      <c r="G229" s="11" t="n"/>
    </row>
    <row r="230">
      <c r="A230" s="10">
        <f>IF(B230="","",ROW()-5)</f>
        <v/>
      </c>
      <c r="B230" s="11" t="n"/>
      <c r="C230" s="11" t="n"/>
      <c r="D230" s="11" t="n"/>
      <c r="E230" s="12" t="n"/>
      <c r="F230" s="11" t="n"/>
      <c r="G230" s="11" t="n"/>
    </row>
    <row r="231">
      <c r="A231" s="10">
        <f>IF(B231="","",ROW()-5)</f>
        <v/>
      </c>
      <c r="B231" s="11" t="n"/>
      <c r="C231" s="11" t="n"/>
      <c r="D231" s="11" t="n"/>
      <c r="E231" s="12" t="n"/>
      <c r="F231" s="11" t="n"/>
      <c r="G231" s="11" t="n"/>
    </row>
    <row r="232">
      <c r="A232" s="10">
        <f>IF(B232="","",ROW()-5)</f>
        <v/>
      </c>
      <c r="B232" s="11" t="n"/>
      <c r="C232" s="11" t="n"/>
      <c r="D232" s="11" t="n"/>
      <c r="E232" s="12" t="n"/>
      <c r="F232" s="11" t="n"/>
      <c r="G232" s="11" t="n"/>
    </row>
    <row r="233">
      <c r="A233" s="10">
        <f>IF(B233="","",ROW()-5)</f>
        <v/>
      </c>
      <c r="B233" s="11" t="n"/>
      <c r="C233" s="11" t="n"/>
      <c r="D233" s="11" t="n"/>
      <c r="E233" s="12" t="n"/>
      <c r="F233" s="11" t="n"/>
      <c r="G233" s="11" t="n"/>
    </row>
    <row r="234">
      <c r="A234" s="10">
        <f>IF(B234="","",ROW()-5)</f>
        <v/>
      </c>
      <c r="B234" s="11" t="n"/>
      <c r="C234" s="11" t="n"/>
      <c r="D234" s="11" t="n"/>
      <c r="E234" s="12" t="n"/>
      <c r="F234" s="11" t="n"/>
      <c r="G234" s="11" t="n"/>
    </row>
    <row r="235">
      <c r="A235" s="10">
        <f>IF(B235="","",ROW()-5)</f>
        <v/>
      </c>
      <c r="B235" s="11" t="n"/>
      <c r="C235" s="11" t="n"/>
      <c r="D235" s="11" t="n"/>
      <c r="E235" s="12" t="n"/>
      <c r="F235" s="11" t="n"/>
      <c r="G235" s="11" t="n"/>
    </row>
    <row r="236">
      <c r="A236" s="10">
        <f>IF(B236="","",ROW()-5)</f>
        <v/>
      </c>
      <c r="B236" s="11" t="n"/>
      <c r="C236" s="11" t="n"/>
      <c r="D236" s="11" t="n"/>
      <c r="E236" s="12" t="n"/>
      <c r="F236" s="11" t="n"/>
      <c r="G236" s="11" t="n"/>
    </row>
    <row r="237">
      <c r="A237" s="10">
        <f>IF(B237="","",ROW()-5)</f>
        <v/>
      </c>
      <c r="B237" s="11" t="n"/>
      <c r="C237" s="11" t="n"/>
      <c r="D237" s="11" t="n"/>
      <c r="E237" s="12" t="n"/>
      <c r="F237" s="11" t="n"/>
      <c r="G237" s="11" t="n"/>
    </row>
    <row r="238">
      <c r="A238" s="10">
        <f>IF(B238="","",ROW()-5)</f>
        <v/>
      </c>
      <c r="B238" s="11" t="n"/>
      <c r="C238" s="11" t="n"/>
      <c r="D238" s="11" t="n"/>
      <c r="E238" s="12" t="n"/>
      <c r="F238" s="11" t="n"/>
      <c r="G238" s="11" t="n"/>
    </row>
    <row r="239">
      <c r="A239" s="10">
        <f>IF(B239="","",ROW()-5)</f>
        <v/>
      </c>
      <c r="B239" s="11" t="n"/>
      <c r="C239" s="11" t="n"/>
      <c r="D239" s="11" t="n"/>
      <c r="E239" s="12" t="n"/>
      <c r="F239" s="11" t="n"/>
      <c r="G239" s="11" t="n"/>
    </row>
    <row r="240">
      <c r="A240" s="10">
        <f>IF(B240="","",ROW()-5)</f>
        <v/>
      </c>
      <c r="B240" s="11" t="n"/>
      <c r="C240" s="11" t="n"/>
      <c r="D240" s="11" t="n"/>
      <c r="E240" s="12" t="n"/>
      <c r="F240" s="11" t="n"/>
      <c r="G240" s="11" t="n"/>
    </row>
    <row r="241">
      <c r="A241" s="10">
        <f>IF(B241="","",ROW()-5)</f>
        <v/>
      </c>
      <c r="B241" s="11" t="n"/>
      <c r="C241" s="11" t="n"/>
      <c r="D241" s="11" t="n"/>
      <c r="E241" s="12" t="n"/>
      <c r="F241" s="11" t="n"/>
      <c r="G241" s="11" t="n"/>
    </row>
    <row r="242">
      <c r="A242" s="10">
        <f>IF(B242="","",ROW()-5)</f>
        <v/>
      </c>
      <c r="B242" s="11" t="n"/>
      <c r="C242" s="11" t="n"/>
      <c r="D242" s="11" t="n"/>
      <c r="E242" s="12" t="n"/>
      <c r="F242" s="11" t="n"/>
      <c r="G242" s="11" t="n"/>
    </row>
    <row r="243">
      <c r="A243" s="10">
        <f>IF(B243="","",ROW()-5)</f>
        <v/>
      </c>
      <c r="B243" s="11" t="n"/>
      <c r="C243" s="11" t="n"/>
      <c r="D243" s="11" t="n"/>
      <c r="E243" s="12" t="n"/>
      <c r="F243" s="11" t="n"/>
      <c r="G243" s="11" t="n"/>
    </row>
    <row r="244">
      <c r="A244" s="10">
        <f>IF(B244="","",ROW()-5)</f>
        <v/>
      </c>
      <c r="B244" s="11" t="n"/>
      <c r="C244" s="11" t="n"/>
      <c r="D244" s="11" t="n"/>
      <c r="E244" s="12" t="n"/>
      <c r="F244" s="11" t="n"/>
      <c r="G244" s="11" t="n"/>
    </row>
    <row r="245">
      <c r="A245" s="10">
        <f>IF(B245="","",ROW()-5)</f>
        <v/>
      </c>
      <c r="B245" s="11" t="n"/>
      <c r="C245" s="11" t="n"/>
      <c r="D245" s="11" t="n"/>
      <c r="E245" s="12" t="n"/>
      <c r="F245" s="11" t="n"/>
      <c r="G245" s="11" t="n"/>
    </row>
    <row r="246">
      <c r="A246" s="10">
        <f>IF(B246="","",ROW()-5)</f>
        <v/>
      </c>
      <c r="B246" s="11" t="n"/>
      <c r="C246" s="11" t="n"/>
      <c r="D246" s="11" t="n"/>
      <c r="E246" s="12" t="n"/>
      <c r="F246" s="11" t="n"/>
      <c r="G246" s="11" t="n"/>
    </row>
    <row r="247">
      <c r="A247" s="10">
        <f>IF(B247="","",ROW()-5)</f>
        <v/>
      </c>
      <c r="B247" s="11" t="n"/>
      <c r="C247" s="11" t="n"/>
      <c r="D247" s="11" t="n"/>
      <c r="E247" s="12" t="n"/>
      <c r="F247" s="11" t="n"/>
      <c r="G247" s="11" t="n"/>
    </row>
    <row r="248">
      <c r="A248" s="10">
        <f>IF(B248="","",ROW()-5)</f>
        <v/>
      </c>
      <c r="B248" s="11" t="n"/>
      <c r="C248" s="11" t="n"/>
      <c r="D248" s="11" t="n"/>
      <c r="E248" s="12" t="n"/>
      <c r="F248" s="11" t="n"/>
      <c r="G248" s="11" t="n"/>
    </row>
    <row r="249">
      <c r="A249" s="10">
        <f>IF(B249="","",ROW()-5)</f>
        <v/>
      </c>
      <c r="B249" s="11" t="n"/>
      <c r="C249" s="11" t="n"/>
      <c r="D249" s="11" t="n"/>
      <c r="E249" s="12" t="n"/>
      <c r="F249" s="11" t="n"/>
      <c r="G249" s="11" t="n"/>
    </row>
    <row r="250">
      <c r="A250" s="10">
        <f>IF(B250="","",ROW()-5)</f>
        <v/>
      </c>
      <c r="B250" s="11" t="n"/>
      <c r="C250" s="11" t="n"/>
      <c r="D250" s="11" t="n"/>
      <c r="E250" s="12" t="n"/>
      <c r="F250" s="11" t="n"/>
      <c r="G250" s="11" t="n"/>
    </row>
    <row r="251">
      <c r="A251" s="10">
        <f>IF(B251="","",ROW()-5)</f>
        <v/>
      </c>
      <c r="B251" s="11" t="n"/>
      <c r="C251" s="11" t="n"/>
      <c r="D251" s="11" t="n"/>
      <c r="E251" s="12" t="n"/>
      <c r="F251" s="11" t="n"/>
      <c r="G251" s="11" t="n"/>
    </row>
    <row r="252">
      <c r="A252" s="10">
        <f>IF(B252="","",ROW()-5)</f>
        <v/>
      </c>
      <c r="B252" s="11" t="n"/>
      <c r="C252" s="11" t="n"/>
      <c r="D252" s="11" t="n"/>
      <c r="E252" s="12" t="n"/>
      <c r="F252" s="11" t="n"/>
      <c r="G252" s="11" t="n"/>
    </row>
    <row r="253">
      <c r="A253" s="10">
        <f>IF(B253="","",ROW()-5)</f>
        <v/>
      </c>
      <c r="B253" s="11" t="n"/>
      <c r="C253" s="11" t="n"/>
      <c r="D253" s="11" t="n"/>
      <c r="E253" s="12" t="n"/>
      <c r="F253" s="11" t="n"/>
      <c r="G253" s="11" t="n"/>
    </row>
    <row r="254">
      <c r="A254" s="10">
        <f>IF(B254="","",ROW()-5)</f>
        <v/>
      </c>
      <c r="B254" s="11" t="n"/>
      <c r="C254" s="11" t="n"/>
      <c r="D254" s="11" t="n"/>
      <c r="E254" s="12" t="n"/>
      <c r="F254" s="11" t="n"/>
      <c r="G254" s="11" t="n"/>
    </row>
    <row r="255">
      <c r="A255" s="10">
        <f>IF(B255="","",ROW()-5)</f>
        <v/>
      </c>
      <c r="B255" s="11" t="n"/>
      <c r="C255" s="11" t="n"/>
      <c r="D255" s="11" t="n"/>
      <c r="E255" s="12" t="n"/>
      <c r="F255" s="11" t="n"/>
      <c r="G255" s="11" t="n"/>
    </row>
    <row r="256">
      <c r="A256" s="10">
        <f>IF(B256="","",ROW()-5)</f>
        <v/>
      </c>
      <c r="B256" s="11" t="n"/>
      <c r="C256" s="11" t="n"/>
      <c r="D256" s="11" t="n"/>
      <c r="E256" s="12" t="n"/>
      <c r="F256" s="11" t="n"/>
      <c r="G256" s="11" t="n"/>
    </row>
    <row r="257">
      <c r="A257" s="10">
        <f>IF(B257="","",ROW()-5)</f>
        <v/>
      </c>
      <c r="B257" s="11" t="n"/>
      <c r="C257" s="11" t="n"/>
      <c r="D257" s="11" t="n"/>
      <c r="E257" s="12" t="n"/>
      <c r="F257" s="11" t="n"/>
      <c r="G257" s="11" t="n"/>
    </row>
    <row r="258">
      <c r="A258" s="10">
        <f>IF(B258="","",ROW()-5)</f>
        <v/>
      </c>
      <c r="B258" s="11" t="n"/>
      <c r="C258" s="11" t="n"/>
      <c r="D258" s="11" t="n"/>
      <c r="E258" s="12" t="n"/>
      <c r="F258" s="11" t="n"/>
      <c r="G258" s="11" t="n"/>
    </row>
    <row r="259">
      <c r="A259" s="10">
        <f>IF(B259="","",ROW()-5)</f>
        <v/>
      </c>
      <c r="B259" s="11" t="n"/>
      <c r="C259" s="11" t="n"/>
      <c r="D259" s="11" t="n"/>
      <c r="E259" s="12" t="n"/>
      <c r="F259" s="11" t="n"/>
      <c r="G259" s="11" t="n"/>
    </row>
    <row r="260">
      <c r="A260" s="10">
        <f>IF(B260="","",ROW()-5)</f>
        <v/>
      </c>
      <c r="B260" s="11" t="n"/>
      <c r="C260" s="11" t="n"/>
      <c r="D260" s="11" t="n"/>
      <c r="E260" s="12" t="n"/>
      <c r="F260" s="11" t="n"/>
      <c r="G260" s="11" t="n"/>
    </row>
    <row r="261">
      <c r="A261" s="10">
        <f>IF(B261="","",ROW()-5)</f>
        <v/>
      </c>
      <c r="B261" s="11" t="n"/>
      <c r="C261" s="11" t="n"/>
      <c r="D261" s="11" t="n"/>
      <c r="E261" s="12" t="n"/>
      <c r="F261" s="11" t="n"/>
      <c r="G261" s="11" t="n"/>
    </row>
    <row r="262">
      <c r="A262" s="10">
        <f>IF(B262="","",ROW()-5)</f>
        <v/>
      </c>
      <c r="B262" s="11" t="n"/>
      <c r="C262" s="11" t="n"/>
      <c r="D262" s="11" t="n"/>
      <c r="E262" s="12" t="n"/>
      <c r="F262" s="11" t="n"/>
      <c r="G262" s="11" t="n"/>
    </row>
    <row r="263">
      <c r="A263" s="10">
        <f>IF(B263="","",ROW()-5)</f>
        <v/>
      </c>
      <c r="B263" s="11" t="n"/>
      <c r="C263" s="11" t="n"/>
      <c r="D263" s="11" t="n"/>
      <c r="E263" s="12" t="n"/>
      <c r="F263" s="11" t="n"/>
      <c r="G263" s="11" t="n"/>
    </row>
    <row r="264">
      <c r="A264" s="10">
        <f>IF(B264="","",ROW()-5)</f>
        <v/>
      </c>
      <c r="B264" s="11" t="n"/>
      <c r="C264" s="11" t="n"/>
      <c r="D264" s="11" t="n"/>
      <c r="E264" s="12" t="n"/>
      <c r="F264" s="11" t="n"/>
      <c r="G264" s="11" t="n"/>
    </row>
    <row r="265">
      <c r="A265" s="10">
        <f>IF(B265="","",ROW()-5)</f>
        <v/>
      </c>
      <c r="B265" s="11" t="n"/>
      <c r="C265" s="11" t="n"/>
      <c r="D265" s="11" t="n"/>
      <c r="E265" s="12" t="n"/>
      <c r="F265" s="11" t="n"/>
      <c r="G265" s="11" t="n"/>
    </row>
    <row r="266">
      <c r="A266" s="10">
        <f>IF(B266="","",ROW()-5)</f>
        <v/>
      </c>
      <c r="B266" s="11" t="n"/>
      <c r="C266" s="11" t="n"/>
      <c r="D266" s="11" t="n"/>
      <c r="E266" s="12" t="n"/>
      <c r="F266" s="11" t="n"/>
      <c r="G266" s="11" t="n"/>
    </row>
    <row r="267">
      <c r="A267" s="10">
        <f>IF(B267="","",ROW()-5)</f>
        <v/>
      </c>
      <c r="B267" s="11" t="n"/>
      <c r="C267" s="11" t="n"/>
      <c r="D267" s="11" t="n"/>
      <c r="E267" s="12" t="n"/>
      <c r="F267" s="11" t="n"/>
      <c r="G267" s="11" t="n"/>
    </row>
    <row r="268">
      <c r="A268" s="10">
        <f>IF(B268="","",ROW()-5)</f>
        <v/>
      </c>
      <c r="B268" s="11" t="n"/>
      <c r="C268" s="11" t="n"/>
      <c r="D268" s="11" t="n"/>
      <c r="E268" s="12" t="n"/>
      <c r="F268" s="11" t="n"/>
      <c r="G268" s="11" t="n"/>
    </row>
    <row r="269">
      <c r="A269" s="10">
        <f>IF(B269="","",ROW()-5)</f>
        <v/>
      </c>
      <c r="B269" s="11" t="n"/>
      <c r="C269" s="11" t="n"/>
      <c r="D269" s="11" t="n"/>
      <c r="E269" s="12" t="n"/>
      <c r="F269" s="11" t="n"/>
      <c r="G269" s="11" t="n"/>
    </row>
    <row r="270">
      <c r="A270" s="10">
        <f>IF(B270="","",ROW()-5)</f>
        <v/>
      </c>
      <c r="B270" s="11" t="n"/>
      <c r="C270" s="11" t="n"/>
      <c r="D270" s="11" t="n"/>
      <c r="E270" s="12" t="n"/>
      <c r="F270" s="11" t="n"/>
      <c r="G270" s="11" t="n"/>
    </row>
    <row r="271">
      <c r="A271" s="10">
        <f>IF(B271="","",ROW()-5)</f>
        <v/>
      </c>
      <c r="B271" s="11" t="n"/>
      <c r="C271" s="11" t="n"/>
      <c r="D271" s="11" t="n"/>
      <c r="E271" s="12" t="n"/>
      <c r="F271" s="11" t="n"/>
      <c r="G271" s="11" t="n"/>
    </row>
    <row r="272">
      <c r="A272" s="10">
        <f>IF(B272="","",ROW()-5)</f>
        <v/>
      </c>
      <c r="B272" s="11" t="n"/>
      <c r="C272" s="11" t="n"/>
      <c r="D272" s="11" t="n"/>
      <c r="E272" s="12" t="n"/>
      <c r="F272" s="11" t="n"/>
      <c r="G272" s="11" t="n"/>
    </row>
    <row r="273">
      <c r="A273" s="10">
        <f>IF(B273="","",ROW()-5)</f>
        <v/>
      </c>
      <c r="B273" s="11" t="n"/>
      <c r="C273" s="11" t="n"/>
      <c r="D273" s="11" t="n"/>
      <c r="E273" s="12" t="n"/>
      <c r="F273" s="11" t="n"/>
      <c r="G273" s="11" t="n"/>
    </row>
    <row r="274">
      <c r="A274" s="10">
        <f>IF(B274="","",ROW()-5)</f>
        <v/>
      </c>
      <c r="B274" s="11" t="n"/>
      <c r="C274" s="11" t="n"/>
      <c r="D274" s="11" t="n"/>
      <c r="E274" s="12" t="n"/>
      <c r="F274" s="11" t="n"/>
      <c r="G274" s="11" t="n"/>
    </row>
    <row r="275">
      <c r="A275" s="10">
        <f>IF(B275="","",ROW()-5)</f>
        <v/>
      </c>
      <c r="B275" s="11" t="n"/>
      <c r="C275" s="11" t="n"/>
      <c r="D275" s="11" t="n"/>
      <c r="E275" s="12" t="n"/>
      <c r="F275" s="11" t="n"/>
      <c r="G275" s="11" t="n"/>
    </row>
    <row r="276">
      <c r="A276" s="10">
        <f>IF(B276="","",ROW()-5)</f>
        <v/>
      </c>
      <c r="B276" s="11" t="n"/>
      <c r="C276" s="11" t="n"/>
      <c r="D276" s="11" t="n"/>
      <c r="E276" s="12" t="n"/>
      <c r="F276" s="11" t="n"/>
      <c r="G276" s="11" t="n"/>
    </row>
    <row r="277">
      <c r="A277" s="10">
        <f>IF(B277="","",ROW()-5)</f>
        <v/>
      </c>
      <c r="B277" s="11" t="n"/>
      <c r="C277" s="11" t="n"/>
      <c r="D277" s="11" t="n"/>
      <c r="E277" s="12" t="n"/>
      <c r="F277" s="11" t="n"/>
      <c r="G277" s="11" t="n"/>
    </row>
    <row r="278">
      <c r="A278" s="10">
        <f>IF(B278="","",ROW()-5)</f>
        <v/>
      </c>
      <c r="B278" s="11" t="n"/>
      <c r="C278" s="11" t="n"/>
      <c r="D278" s="11" t="n"/>
      <c r="E278" s="12" t="n"/>
      <c r="F278" s="11" t="n"/>
      <c r="G278" s="11" t="n"/>
    </row>
    <row r="279">
      <c r="A279" s="10">
        <f>IF(B279="","",ROW()-5)</f>
        <v/>
      </c>
      <c r="B279" s="11" t="n"/>
      <c r="C279" s="11" t="n"/>
      <c r="D279" s="11" t="n"/>
      <c r="E279" s="12" t="n"/>
      <c r="F279" s="11" t="n"/>
      <c r="G279" s="11" t="n"/>
    </row>
    <row r="280">
      <c r="A280" s="10">
        <f>IF(B280="","",ROW()-5)</f>
        <v/>
      </c>
      <c r="B280" s="11" t="n"/>
      <c r="C280" s="11" t="n"/>
      <c r="D280" s="11" t="n"/>
      <c r="E280" s="12" t="n"/>
      <c r="F280" s="11" t="n"/>
      <c r="G280" s="11" t="n"/>
    </row>
    <row r="281">
      <c r="A281" s="10">
        <f>IF(B281="","",ROW()-5)</f>
        <v/>
      </c>
      <c r="B281" s="11" t="n"/>
      <c r="C281" s="11" t="n"/>
      <c r="D281" s="11" t="n"/>
      <c r="E281" s="12" t="n"/>
      <c r="F281" s="11" t="n"/>
      <c r="G281" s="11" t="n"/>
    </row>
    <row r="282">
      <c r="A282" s="10">
        <f>IF(B282="","",ROW()-5)</f>
        <v/>
      </c>
      <c r="B282" s="11" t="n"/>
      <c r="C282" s="11" t="n"/>
      <c r="D282" s="11" t="n"/>
      <c r="E282" s="12" t="n"/>
      <c r="F282" s="11" t="n"/>
      <c r="G282" s="11" t="n"/>
    </row>
    <row r="283">
      <c r="A283" s="10">
        <f>IF(B283="","",ROW()-5)</f>
        <v/>
      </c>
      <c r="B283" s="11" t="n"/>
      <c r="C283" s="11" t="n"/>
      <c r="D283" s="11" t="n"/>
      <c r="E283" s="12" t="n"/>
      <c r="F283" s="11" t="n"/>
      <c r="G283" s="11" t="n"/>
    </row>
    <row r="284">
      <c r="A284" s="10">
        <f>IF(B284="","",ROW()-5)</f>
        <v/>
      </c>
      <c r="B284" s="11" t="n"/>
      <c r="C284" s="11" t="n"/>
      <c r="D284" s="11" t="n"/>
      <c r="E284" s="12" t="n"/>
      <c r="F284" s="11" t="n"/>
      <c r="G284" s="11" t="n"/>
    </row>
    <row r="285">
      <c r="A285" s="10">
        <f>IF(B285="","",ROW()-5)</f>
        <v/>
      </c>
      <c r="B285" s="11" t="n"/>
      <c r="C285" s="11" t="n"/>
      <c r="D285" s="11" t="n"/>
      <c r="E285" s="12" t="n"/>
      <c r="F285" s="11" t="n"/>
      <c r="G285" s="11" t="n"/>
    </row>
    <row r="286">
      <c r="A286" s="10">
        <f>IF(B286="","",ROW()-5)</f>
        <v/>
      </c>
      <c r="B286" s="11" t="n"/>
      <c r="C286" s="11" t="n"/>
      <c r="D286" s="11" t="n"/>
      <c r="E286" s="12" t="n"/>
      <c r="F286" s="11" t="n"/>
      <c r="G286" s="11" t="n"/>
    </row>
    <row r="287">
      <c r="A287" s="10">
        <f>IF(B287="","",ROW()-5)</f>
        <v/>
      </c>
      <c r="B287" s="11" t="n"/>
      <c r="C287" s="11" t="n"/>
      <c r="D287" s="11" t="n"/>
      <c r="E287" s="12" t="n"/>
      <c r="F287" s="11" t="n"/>
      <c r="G287" s="11" t="n"/>
    </row>
    <row r="288">
      <c r="A288" s="10">
        <f>IF(B288="","",ROW()-5)</f>
        <v/>
      </c>
      <c r="B288" s="11" t="n"/>
      <c r="C288" s="11" t="n"/>
      <c r="D288" s="11" t="n"/>
      <c r="E288" s="12" t="n"/>
      <c r="F288" s="11" t="n"/>
      <c r="G288" s="11" t="n"/>
    </row>
    <row r="289">
      <c r="A289" s="10">
        <f>IF(B289="","",ROW()-5)</f>
        <v/>
      </c>
      <c r="B289" s="11" t="n"/>
      <c r="C289" s="11" t="n"/>
      <c r="D289" s="11" t="n"/>
      <c r="E289" s="12" t="n"/>
      <c r="F289" s="11" t="n"/>
      <c r="G289" s="11" t="n"/>
    </row>
    <row r="290">
      <c r="A290" s="10">
        <f>IF(B290="","",ROW()-5)</f>
        <v/>
      </c>
      <c r="B290" s="11" t="n"/>
      <c r="C290" s="11" t="n"/>
      <c r="D290" s="11" t="n"/>
      <c r="E290" s="12" t="n"/>
      <c r="F290" s="11" t="n"/>
      <c r="G290" s="11" t="n"/>
    </row>
    <row r="291">
      <c r="A291" s="10">
        <f>IF(B291="","",ROW()-5)</f>
        <v/>
      </c>
      <c r="B291" s="11" t="n"/>
      <c r="C291" s="11" t="n"/>
      <c r="D291" s="11" t="n"/>
      <c r="E291" s="12" t="n"/>
      <c r="F291" s="11" t="n"/>
      <c r="G291" s="11" t="n"/>
    </row>
    <row r="292">
      <c r="A292" s="10">
        <f>IF(B292="","",ROW()-5)</f>
        <v/>
      </c>
      <c r="B292" s="11" t="n"/>
      <c r="C292" s="11" t="n"/>
      <c r="D292" s="11" t="n"/>
      <c r="E292" s="12" t="n"/>
      <c r="F292" s="11" t="n"/>
      <c r="G292" s="11" t="n"/>
    </row>
    <row r="293">
      <c r="A293" s="10">
        <f>IF(B293="","",ROW()-5)</f>
        <v/>
      </c>
      <c r="B293" s="11" t="n"/>
      <c r="C293" s="11" t="n"/>
      <c r="D293" s="11" t="n"/>
      <c r="E293" s="12" t="n"/>
      <c r="F293" s="11" t="n"/>
      <c r="G293" s="11" t="n"/>
    </row>
    <row r="294">
      <c r="A294" s="10">
        <f>IF(B294="","",ROW()-5)</f>
        <v/>
      </c>
      <c r="B294" s="11" t="n"/>
      <c r="C294" s="11" t="n"/>
      <c r="D294" s="11" t="n"/>
      <c r="E294" s="12" t="n"/>
      <c r="F294" s="11" t="n"/>
      <c r="G294" s="11" t="n"/>
    </row>
    <row r="295">
      <c r="A295" s="10">
        <f>IF(B295="","",ROW()-5)</f>
        <v/>
      </c>
      <c r="B295" s="11" t="n"/>
      <c r="C295" s="11" t="n"/>
      <c r="D295" s="11" t="n"/>
      <c r="E295" s="12" t="n"/>
      <c r="F295" s="11" t="n"/>
      <c r="G295" s="11" t="n"/>
    </row>
    <row r="296">
      <c r="A296" s="10">
        <f>IF(B296="","",ROW()-5)</f>
        <v/>
      </c>
      <c r="B296" s="11" t="n"/>
      <c r="C296" s="11" t="n"/>
      <c r="D296" s="11" t="n"/>
      <c r="E296" s="12" t="n"/>
      <c r="F296" s="11" t="n"/>
      <c r="G296" s="11" t="n"/>
    </row>
    <row r="297">
      <c r="A297" s="10">
        <f>IF(B297="","",ROW()-5)</f>
        <v/>
      </c>
      <c r="B297" s="11" t="n"/>
      <c r="C297" s="11" t="n"/>
      <c r="D297" s="11" t="n"/>
      <c r="E297" s="12" t="n"/>
      <c r="F297" s="11" t="n"/>
      <c r="G297" s="11" t="n"/>
    </row>
    <row r="298">
      <c r="A298" s="10">
        <f>IF(B298="","",ROW()-5)</f>
        <v/>
      </c>
      <c r="B298" s="11" t="n"/>
      <c r="C298" s="11" t="n"/>
      <c r="D298" s="11" t="n"/>
      <c r="E298" s="12" t="n"/>
      <c r="F298" s="11" t="n"/>
      <c r="G298" s="11" t="n"/>
    </row>
    <row r="299">
      <c r="A299" s="10">
        <f>IF(B299="","",ROW()-5)</f>
        <v/>
      </c>
      <c r="B299" s="11" t="n"/>
      <c r="C299" s="11" t="n"/>
      <c r="D299" s="11" t="n"/>
      <c r="E299" s="12" t="n"/>
      <c r="F299" s="11" t="n"/>
      <c r="G299" s="11" t="n"/>
    </row>
    <row r="300">
      <c r="A300" s="10">
        <f>IF(B300="","",ROW()-5)</f>
        <v/>
      </c>
      <c r="B300" s="11" t="n"/>
      <c r="C300" s="11" t="n"/>
      <c r="D300" s="11" t="n"/>
      <c r="E300" s="12" t="n"/>
      <c r="F300" s="11" t="n"/>
      <c r="G300" s="11" t="n"/>
    </row>
    <row r="301">
      <c r="A301" s="10">
        <f>IF(B301="","",ROW()-5)</f>
        <v/>
      </c>
      <c r="B301" s="11" t="n"/>
      <c r="C301" s="11" t="n"/>
      <c r="D301" s="11" t="n"/>
      <c r="E301" s="12" t="n"/>
      <c r="F301" s="11" t="n"/>
      <c r="G301" s="11" t="n"/>
    </row>
    <row r="302">
      <c r="A302" s="10">
        <f>IF(B302="","",ROW()-5)</f>
        <v/>
      </c>
      <c r="B302" s="11" t="n"/>
      <c r="C302" s="11" t="n"/>
      <c r="D302" s="11" t="n"/>
      <c r="E302" s="12" t="n"/>
      <c r="F302" s="11" t="n"/>
      <c r="G302" s="11" t="n"/>
    </row>
    <row r="303">
      <c r="A303" s="10">
        <f>IF(B303="","",ROW()-5)</f>
        <v/>
      </c>
      <c r="B303" s="11" t="n"/>
      <c r="C303" s="11" t="n"/>
      <c r="D303" s="11" t="n"/>
      <c r="E303" s="12" t="n"/>
      <c r="F303" s="11" t="n"/>
      <c r="G303" s="11" t="n"/>
    </row>
    <row r="304">
      <c r="A304" s="10">
        <f>IF(B304="","",ROW()-5)</f>
        <v/>
      </c>
      <c r="B304" s="11" t="n"/>
      <c r="C304" s="11" t="n"/>
      <c r="D304" s="11" t="n"/>
      <c r="E304" s="12" t="n"/>
      <c r="F304" s="11" t="n"/>
      <c r="G304" s="11" t="n"/>
    </row>
    <row r="305">
      <c r="A305" s="10">
        <f>IF(B305="","",ROW()-5)</f>
        <v/>
      </c>
      <c r="B305" s="11" t="n"/>
      <c r="C305" s="11" t="n"/>
      <c r="D305" s="11" t="n"/>
      <c r="E305" s="12" t="n"/>
      <c r="F305" s="11" t="n"/>
      <c r="G305" s="11" t="n"/>
    </row>
    <row r="306">
      <c r="A306" s="10">
        <f>IF(B306="","",ROW()-5)</f>
        <v/>
      </c>
      <c r="B306" s="11" t="n"/>
      <c r="C306" s="11" t="n"/>
      <c r="D306" s="11" t="n"/>
      <c r="E306" s="12" t="n"/>
      <c r="F306" s="11" t="n"/>
      <c r="G306" s="11" t="n"/>
    </row>
    <row r="307">
      <c r="A307" s="10">
        <f>IF(B307="","",ROW()-5)</f>
        <v/>
      </c>
      <c r="B307" s="11" t="n"/>
      <c r="C307" s="11" t="n"/>
      <c r="D307" s="11" t="n"/>
      <c r="E307" s="12" t="n"/>
      <c r="F307" s="11" t="n"/>
      <c r="G307" s="11" t="n"/>
    </row>
    <row r="308">
      <c r="A308" s="10">
        <f>IF(B308="","",ROW()-5)</f>
        <v/>
      </c>
      <c r="B308" s="11" t="n"/>
      <c r="C308" s="11" t="n"/>
      <c r="D308" s="11" t="n"/>
      <c r="E308" s="12" t="n"/>
      <c r="F308" s="11" t="n"/>
      <c r="G308" s="11" t="n"/>
    </row>
    <row r="309">
      <c r="A309" s="10">
        <f>IF(B309="","",ROW()-5)</f>
        <v/>
      </c>
      <c r="B309" s="11" t="n"/>
      <c r="C309" s="11" t="n"/>
      <c r="D309" s="11" t="n"/>
      <c r="E309" s="12" t="n"/>
      <c r="F309" s="11" t="n"/>
      <c r="G309" s="11" t="n"/>
    </row>
    <row r="310">
      <c r="A310" s="10">
        <f>IF(B310="","",ROW()-5)</f>
        <v/>
      </c>
      <c r="B310" s="11" t="n"/>
      <c r="C310" s="11" t="n"/>
      <c r="D310" s="11" t="n"/>
      <c r="E310" s="12" t="n"/>
      <c r="F310" s="11" t="n"/>
      <c r="G310" s="11" t="n"/>
    </row>
    <row r="311">
      <c r="A311" s="10">
        <f>IF(B311="","",ROW()-5)</f>
        <v/>
      </c>
      <c r="B311" s="11" t="n"/>
      <c r="C311" s="11" t="n"/>
      <c r="D311" s="11" t="n"/>
      <c r="E311" s="12" t="n"/>
      <c r="F311" s="11" t="n"/>
      <c r="G311" s="11" t="n"/>
    </row>
    <row r="312">
      <c r="A312" s="10">
        <f>IF(B312="","",ROW()-5)</f>
        <v/>
      </c>
      <c r="B312" s="11" t="n"/>
      <c r="C312" s="11" t="n"/>
      <c r="D312" s="11" t="n"/>
      <c r="E312" s="12" t="n"/>
      <c r="F312" s="11" t="n"/>
      <c r="G312" s="11" t="n"/>
    </row>
    <row r="313">
      <c r="A313" s="10">
        <f>IF(B313="","",ROW()-5)</f>
        <v/>
      </c>
      <c r="B313" s="11" t="n"/>
      <c r="C313" s="11" t="n"/>
      <c r="D313" s="11" t="n"/>
      <c r="E313" s="12" t="n"/>
      <c r="F313" s="11" t="n"/>
      <c r="G313" s="11" t="n"/>
    </row>
    <row r="314">
      <c r="A314" s="10">
        <f>IF(B314="","",ROW()-5)</f>
        <v/>
      </c>
      <c r="B314" s="11" t="n"/>
      <c r="C314" s="11" t="n"/>
      <c r="D314" s="11" t="n"/>
      <c r="E314" s="12" t="n"/>
      <c r="F314" s="11" t="n"/>
      <c r="G314" s="11" t="n"/>
    </row>
    <row r="315">
      <c r="A315" s="10">
        <f>IF(B315="","",ROW()-5)</f>
        <v/>
      </c>
      <c r="B315" s="11" t="n"/>
      <c r="C315" s="11" t="n"/>
      <c r="D315" s="11" t="n"/>
      <c r="E315" s="12" t="n"/>
      <c r="F315" s="11" t="n"/>
      <c r="G315" s="11" t="n"/>
    </row>
    <row r="316">
      <c r="A316" s="10">
        <f>IF(B316="","",ROW()-5)</f>
        <v/>
      </c>
      <c r="B316" s="11" t="n"/>
      <c r="C316" s="11" t="n"/>
      <c r="D316" s="11" t="n"/>
      <c r="E316" s="12" t="n"/>
      <c r="F316" s="11" t="n"/>
      <c r="G316" s="11" t="n"/>
    </row>
    <row r="317">
      <c r="A317" s="10">
        <f>IF(B317="","",ROW()-5)</f>
        <v/>
      </c>
      <c r="B317" s="11" t="n"/>
      <c r="C317" s="11" t="n"/>
      <c r="D317" s="11" t="n"/>
      <c r="E317" s="12" t="n"/>
      <c r="F317" s="11" t="n"/>
      <c r="G317" s="11" t="n"/>
    </row>
    <row r="318">
      <c r="A318" s="10">
        <f>IF(B318="","",ROW()-5)</f>
        <v/>
      </c>
      <c r="B318" s="11" t="n"/>
      <c r="C318" s="11" t="n"/>
      <c r="D318" s="11" t="n"/>
      <c r="E318" s="12" t="n"/>
      <c r="F318" s="11" t="n"/>
      <c r="G318" s="11" t="n"/>
    </row>
    <row r="319">
      <c r="A319" s="10">
        <f>IF(B319="","",ROW()-5)</f>
        <v/>
      </c>
      <c r="B319" s="11" t="n"/>
      <c r="C319" s="11" t="n"/>
      <c r="D319" s="11" t="n"/>
      <c r="E319" s="12" t="n"/>
      <c r="F319" s="11" t="n"/>
      <c r="G319" s="11" t="n"/>
    </row>
    <row r="320">
      <c r="A320" s="10">
        <f>IF(B320="","",ROW()-5)</f>
        <v/>
      </c>
      <c r="B320" s="11" t="n"/>
      <c r="C320" s="11" t="n"/>
      <c r="D320" s="11" t="n"/>
      <c r="E320" s="12" t="n"/>
      <c r="F320" s="11" t="n"/>
      <c r="G320" s="11" t="n"/>
    </row>
    <row r="321">
      <c r="A321" s="10">
        <f>IF(B321="","",ROW()-5)</f>
        <v/>
      </c>
      <c r="B321" s="11" t="n"/>
      <c r="C321" s="11" t="n"/>
      <c r="D321" s="11" t="n"/>
      <c r="E321" s="12" t="n"/>
      <c r="F321" s="11" t="n"/>
      <c r="G321" s="11" t="n"/>
    </row>
    <row r="322">
      <c r="A322" s="10">
        <f>IF(B322="","",ROW()-5)</f>
        <v/>
      </c>
      <c r="B322" s="11" t="n"/>
      <c r="C322" s="11" t="n"/>
      <c r="D322" s="11" t="n"/>
      <c r="E322" s="12" t="n"/>
      <c r="F322" s="11" t="n"/>
      <c r="G322" s="11" t="n"/>
    </row>
    <row r="323">
      <c r="A323" s="10">
        <f>IF(B323="","",ROW()-5)</f>
        <v/>
      </c>
      <c r="B323" s="11" t="n"/>
      <c r="C323" s="11" t="n"/>
      <c r="D323" s="11" t="n"/>
      <c r="E323" s="12" t="n"/>
      <c r="F323" s="11" t="n"/>
      <c r="G323" s="11" t="n"/>
    </row>
    <row r="324">
      <c r="A324" s="10">
        <f>IF(B324="","",ROW()-5)</f>
        <v/>
      </c>
      <c r="B324" s="11" t="n"/>
      <c r="C324" s="11" t="n"/>
      <c r="D324" s="11" t="n"/>
      <c r="E324" s="12" t="n"/>
      <c r="F324" s="11" t="n"/>
      <c r="G324" s="11" t="n"/>
    </row>
    <row r="325">
      <c r="A325" s="10">
        <f>IF(B325="","",ROW()-5)</f>
        <v/>
      </c>
      <c r="B325" s="11" t="n"/>
      <c r="C325" s="11" t="n"/>
      <c r="D325" s="11" t="n"/>
      <c r="E325" s="12" t="n"/>
      <c r="F325" s="11" t="n"/>
      <c r="G325" s="11" t="n"/>
    </row>
    <row r="326">
      <c r="A326" s="10">
        <f>IF(B326="","",ROW()-5)</f>
        <v/>
      </c>
      <c r="B326" s="11" t="n"/>
      <c r="C326" s="11" t="n"/>
      <c r="D326" s="11" t="n"/>
      <c r="E326" s="12" t="n"/>
      <c r="F326" s="11" t="n"/>
      <c r="G326" s="11" t="n"/>
    </row>
    <row r="327">
      <c r="A327" s="10">
        <f>IF(B327="","",ROW()-5)</f>
        <v/>
      </c>
      <c r="B327" s="11" t="n"/>
      <c r="C327" s="11" t="n"/>
      <c r="D327" s="11" t="n"/>
      <c r="E327" s="12" t="n"/>
      <c r="F327" s="11" t="n"/>
      <c r="G327" s="11" t="n"/>
    </row>
    <row r="328">
      <c r="A328" s="10">
        <f>IF(B328="","",ROW()-5)</f>
        <v/>
      </c>
      <c r="B328" s="11" t="n"/>
      <c r="C328" s="11" t="n"/>
      <c r="D328" s="11" t="n"/>
      <c r="E328" s="12" t="n"/>
      <c r="F328" s="11" t="n"/>
      <c r="G328" s="11" t="n"/>
    </row>
    <row r="329">
      <c r="A329" s="10">
        <f>IF(B329="","",ROW()-5)</f>
        <v/>
      </c>
      <c r="B329" s="11" t="n"/>
      <c r="C329" s="11" t="n"/>
      <c r="D329" s="11" t="n"/>
      <c r="E329" s="12" t="n"/>
      <c r="F329" s="11" t="n"/>
      <c r="G329" s="11" t="n"/>
    </row>
    <row r="330">
      <c r="A330" s="10">
        <f>IF(B330="","",ROW()-5)</f>
        <v/>
      </c>
      <c r="B330" s="11" t="n"/>
      <c r="C330" s="11" t="n"/>
      <c r="D330" s="11" t="n"/>
      <c r="E330" s="12" t="n"/>
      <c r="F330" s="11" t="n"/>
      <c r="G330" s="11" t="n"/>
    </row>
    <row r="331">
      <c r="A331" s="10">
        <f>IF(B331="","",ROW()-5)</f>
        <v/>
      </c>
      <c r="B331" s="11" t="n"/>
      <c r="C331" s="11" t="n"/>
      <c r="D331" s="11" t="n"/>
      <c r="E331" s="12" t="n"/>
      <c r="F331" s="11" t="n"/>
      <c r="G331" s="11" t="n"/>
    </row>
    <row r="332">
      <c r="A332" s="10">
        <f>IF(B332="","",ROW()-5)</f>
        <v/>
      </c>
      <c r="B332" s="11" t="n"/>
      <c r="C332" s="11" t="n"/>
      <c r="D332" s="11" t="n"/>
      <c r="E332" s="12" t="n"/>
      <c r="F332" s="11" t="n"/>
      <c r="G332" s="11" t="n"/>
    </row>
    <row r="333">
      <c r="A333" s="10">
        <f>IF(B333="","",ROW()-5)</f>
        <v/>
      </c>
      <c r="B333" s="11" t="n"/>
      <c r="C333" s="11" t="n"/>
      <c r="D333" s="11" t="n"/>
      <c r="E333" s="12" t="n"/>
      <c r="F333" s="11" t="n"/>
      <c r="G333" s="11" t="n"/>
    </row>
    <row r="334">
      <c r="A334" s="10">
        <f>IF(B334="","",ROW()-5)</f>
        <v/>
      </c>
      <c r="B334" s="11" t="n"/>
      <c r="C334" s="11" t="n"/>
      <c r="D334" s="11" t="n"/>
      <c r="E334" s="12" t="n"/>
      <c r="F334" s="11" t="n"/>
      <c r="G334" s="11" t="n"/>
    </row>
    <row r="335">
      <c r="A335" s="10">
        <f>IF(B335="","",ROW()-5)</f>
        <v/>
      </c>
      <c r="B335" s="11" t="n"/>
      <c r="C335" s="11" t="n"/>
      <c r="D335" s="11" t="n"/>
      <c r="E335" s="12" t="n"/>
      <c r="F335" s="11" t="n"/>
      <c r="G335" s="11" t="n"/>
    </row>
    <row r="336">
      <c r="A336" s="10">
        <f>IF(B336="","",ROW()-5)</f>
        <v/>
      </c>
      <c r="B336" s="11" t="n"/>
      <c r="C336" s="11" t="n"/>
      <c r="D336" s="11" t="n"/>
      <c r="E336" s="12" t="n"/>
      <c r="F336" s="11" t="n"/>
      <c r="G336" s="11" t="n"/>
    </row>
    <row r="337">
      <c r="A337" s="10">
        <f>IF(B337="","",ROW()-5)</f>
        <v/>
      </c>
      <c r="B337" s="11" t="n"/>
      <c r="C337" s="11" t="n"/>
      <c r="D337" s="11" t="n"/>
      <c r="E337" s="12" t="n"/>
      <c r="F337" s="11" t="n"/>
      <c r="G337" s="11" t="n"/>
    </row>
    <row r="338">
      <c r="A338" s="10">
        <f>IF(B338="","",ROW()-5)</f>
        <v/>
      </c>
      <c r="B338" s="11" t="n"/>
      <c r="C338" s="11" t="n"/>
      <c r="D338" s="11" t="n"/>
      <c r="E338" s="12" t="n"/>
      <c r="F338" s="11" t="n"/>
      <c r="G338" s="11" t="n"/>
    </row>
    <row r="339">
      <c r="A339" s="10">
        <f>IF(B339="","",ROW()-5)</f>
        <v/>
      </c>
      <c r="B339" s="11" t="n"/>
      <c r="C339" s="11" t="n"/>
      <c r="D339" s="11" t="n"/>
      <c r="E339" s="12" t="n"/>
      <c r="F339" s="11" t="n"/>
      <c r="G339" s="11" t="n"/>
    </row>
    <row r="340">
      <c r="A340" s="10">
        <f>IF(B340="","",ROW()-5)</f>
        <v/>
      </c>
      <c r="B340" s="11" t="n"/>
      <c r="C340" s="11" t="n"/>
      <c r="D340" s="11" t="n"/>
      <c r="E340" s="12" t="n"/>
      <c r="F340" s="11" t="n"/>
      <c r="G340" s="11" t="n"/>
    </row>
    <row r="341">
      <c r="A341" s="10">
        <f>IF(B341="","",ROW()-5)</f>
        <v/>
      </c>
      <c r="B341" s="11" t="n"/>
      <c r="C341" s="11" t="n"/>
      <c r="D341" s="11" t="n"/>
      <c r="E341" s="12" t="n"/>
      <c r="F341" s="11" t="n"/>
      <c r="G341" s="11" t="n"/>
    </row>
    <row r="342">
      <c r="A342" s="10">
        <f>IF(B342="","",ROW()-5)</f>
        <v/>
      </c>
      <c r="B342" s="11" t="n"/>
      <c r="C342" s="11" t="n"/>
      <c r="D342" s="11" t="n"/>
      <c r="E342" s="12" t="n"/>
      <c r="F342" s="11" t="n"/>
      <c r="G342" s="11" t="n"/>
    </row>
    <row r="343">
      <c r="A343" s="10">
        <f>IF(B343="","",ROW()-5)</f>
        <v/>
      </c>
      <c r="B343" s="11" t="n"/>
      <c r="C343" s="11" t="n"/>
      <c r="D343" s="11" t="n"/>
      <c r="E343" s="12" t="n"/>
      <c r="F343" s="11" t="n"/>
      <c r="G343" s="11" t="n"/>
    </row>
    <row r="344">
      <c r="A344" s="10">
        <f>IF(B344="","",ROW()-5)</f>
        <v/>
      </c>
      <c r="B344" s="11" t="n"/>
      <c r="C344" s="11" t="n"/>
      <c r="D344" s="11" t="n"/>
      <c r="E344" s="12" t="n"/>
      <c r="F344" s="11" t="n"/>
      <c r="G344" s="11" t="n"/>
    </row>
    <row r="345">
      <c r="A345" s="10">
        <f>IF(B345="","",ROW()-5)</f>
        <v/>
      </c>
      <c r="B345" s="11" t="n"/>
      <c r="C345" s="11" t="n"/>
      <c r="D345" s="11" t="n"/>
      <c r="E345" s="12" t="n"/>
      <c r="F345" s="11" t="n"/>
      <c r="G345" s="11" t="n"/>
    </row>
    <row r="346">
      <c r="A346" s="10">
        <f>IF(B346="","",ROW()-5)</f>
        <v/>
      </c>
      <c r="B346" s="11" t="n"/>
      <c r="C346" s="11" t="n"/>
      <c r="D346" s="11" t="n"/>
      <c r="E346" s="12" t="n"/>
      <c r="F346" s="11" t="n"/>
      <c r="G346" s="11" t="n"/>
    </row>
    <row r="347">
      <c r="A347" s="10">
        <f>IF(B347="","",ROW()-5)</f>
        <v/>
      </c>
      <c r="B347" s="11" t="n"/>
      <c r="C347" s="11" t="n"/>
      <c r="D347" s="11" t="n"/>
      <c r="E347" s="12" t="n"/>
      <c r="F347" s="11" t="n"/>
      <c r="G347" s="11" t="n"/>
    </row>
    <row r="348">
      <c r="A348" s="10">
        <f>IF(B348="","",ROW()-5)</f>
        <v/>
      </c>
      <c r="B348" s="11" t="n"/>
      <c r="C348" s="11" t="n"/>
      <c r="D348" s="11" t="n"/>
      <c r="E348" s="12" t="n"/>
      <c r="F348" s="11" t="n"/>
      <c r="G348" s="11" t="n"/>
    </row>
    <row r="349">
      <c r="A349" s="10">
        <f>IF(B349="","",ROW()-5)</f>
        <v/>
      </c>
      <c r="B349" s="11" t="n"/>
      <c r="C349" s="11" t="n"/>
      <c r="D349" s="11" t="n"/>
      <c r="E349" s="12" t="n"/>
      <c r="F349" s="11" t="n"/>
      <c r="G349" s="11" t="n"/>
    </row>
    <row r="350">
      <c r="A350" s="10">
        <f>IF(B350="","",ROW()-5)</f>
        <v/>
      </c>
      <c r="B350" s="11" t="n"/>
      <c r="C350" s="11" t="n"/>
      <c r="D350" s="11" t="n"/>
      <c r="E350" s="12" t="n"/>
      <c r="F350" s="11" t="n"/>
      <c r="G350" s="11" t="n"/>
    </row>
  </sheetData>
  <autoFilter ref="A5:G3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45"/>
  <sheetViews>
    <sheetView workbookViewId="0">
      <pane ySplit="5" topLeftCell="A6" activePane="bottomLeft" state="frozen"/>
      <selection pane="bottomLeft" activeCell="A1" sqref="A1"/>
    </sheetView>
  </sheetViews>
  <sheetFormatPr baseColWidth="8" defaultRowHeight="15"/>
  <cols>
    <col width="9" customWidth="1" min="1" max="1"/>
    <col width="16" customWidth="1" min="2" max="2"/>
    <col width="26" customWidth="1" min="3" max="3"/>
    <col width="36" customWidth="1" min="4" max="4"/>
    <col width="60" customWidth="1" min="5" max="5"/>
    <col width="26" customWidth="1" min="6" max="6"/>
    <col width="13" customWidth="1" min="7" max="7"/>
    <col width="14" customWidth="1" min="8" max="8"/>
    <col width="14" customWidth="1" min="9" max="9"/>
    <col width="13" customWidth="1" min="10" max="10"/>
    <col width="44" customWidth="1" min="11" max="11"/>
    <col width="24" customWidth="1" min="13" max="13"/>
    <col width="14" customWidth="1" min="14" max="14"/>
  </cols>
  <sheetData>
    <row r="1">
      <c r="A1" s="1" t="inlineStr">
        <is>
          <t>Registre des objets mobiliers — Maison Nsaia</t>
        </is>
      </c>
    </row>
    <row r="2">
      <c r="A2" s="5" t="inlineStr">
        <is>
          <t>Obligatoire pour l'achat-revente de biens d'occasion — article 321-7 du code pénal. Tenue numérique admise.</t>
        </is>
      </c>
      <c r="M2" s="2" t="inlineStr">
        <is>
          <t>SUIVI</t>
        </is>
      </c>
    </row>
    <row r="3">
      <c r="A3" s="5" t="inlineStr">
        <is>
          <t>Numérotation continue, sans rupture ni suppression. À conserver 5 ans et à présenter à toute réquisition.</t>
        </is>
      </c>
      <c r="M3" s="8" t="inlineStr">
        <is>
          <t>Objets inscrits</t>
        </is>
      </c>
      <c r="N3" s="15">
        <f>COUNTIF(B6:B345,"&lt;&gt;")</f>
        <v/>
      </c>
    </row>
    <row r="4">
      <c r="M4" s="8" t="inlineStr">
        <is>
          <t>Sortis du stock</t>
        </is>
      </c>
      <c r="N4" s="15">
        <f>COUNT(J6:J345)</f>
        <v/>
      </c>
    </row>
    <row r="5" ht="34" customHeight="1">
      <c r="A5" s="7" t="inlineStr">
        <is>
          <t>N° d'ordre</t>
        </is>
      </c>
      <c r="B5" s="7" t="inlineStr">
        <is>
          <t>Date d'acquisition</t>
        </is>
      </c>
      <c r="C5" s="7" t="inlineStr">
        <is>
          <t>Vendeur — dénomination</t>
        </is>
      </c>
      <c r="D5" s="7" t="inlineStr">
        <is>
          <t>Justificatif d'identité du vendeur</t>
        </is>
      </c>
      <c r="E5" s="7" t="inlineStr">
        <is>
          <t>Description de l'objet</t>
        </is>
      </c>
      <c r="F5" s="7" t="inlineStr">
        <is>
          <t>Marque / référence</t>
        </is>
      </c>
      <c r="G5" s="7" t="inlineStr">
        <is>
          <t>Prix d'achat</t>
        </is>
      </c>
      <c r="H5" s="7" t="inlineStr">
        <is>
          <t>Mode de règlement</t>
        </is>
      </c>
      <c r="I5" s="7" t="inlineStr">
        <is>
          <t>Date de sortie</t>
        </is>
      </c>
      <c r="J5" s="7" t="inlineStr">
        <is>
          <t>Prix de vente</t>
        </is>
      </c>
      <c r="K5" s="7" t="inlineStr">
        <is>
          <t>Observations</t>
        </is>
      </c>
      <c r="M5" s="8" t="inlineStr">
        <is>
          <t>Prix d'achat cumulé</t>
        </is>
      </c>
      <c r="N5" s="6">
        <f>SUM(G6:G345)</f>
        <v/>
      </c>
    </row>
    <row r="6">
      <c r="A6" s="10">
        <f>IF(B6="","",ROW()-5)</f>
        <v/>
      </c>
      <c r="B6" s="11" t="inlineStr">
        <is>
          <t>26/07/2026</t>
        </is>
      </c>
      <c r="C6" s="11" t="inlineStr">
        <is>
          <t>ERA Enchères Rhône-Alpes</t>
        </is>
      </c>
      <c r="D6" s="11" t="inlineStr">
        <is>
          <t>Facture</t>
        </is>
      </c>
      <c r="E6" s="11" t="inlineStr">
        <is>
          <t>Pompe immergée ROBBY VP550W noir et bleu — produit d'occasion</t>
        </is>
      </c>
      <c r="F6" s="11" t="inlineStr">
        <is>
          <t>Robby VP550W — réf. 8350-154 / KRB-3</t>
        </is>
      </c>
      <c r="G6" s="12" t="n">
        <v>35.9</v>
      </c>
      <c r="H6" s="11" t="inlineStr">
        <is>
          <t>Carte</t>
        </is>
      </c>
      <c r="I6" s="11" t="inlineStr"/>
      <c r="J6" s="12" t="inlineStr"/>
      <c r="K6" s="11" t="inlineStr"/>
      <c r="M6" s="8" t="inlineStr">
        <is>
          <t>Prix de vente cumulé</t>
        </is>
      </c>
      <c r="N6" s="6">
        <f>SUM(J6:J345)</f>
        <v/>
      </c>
    </row>
    <row r="7">
      <c r="A7" s="10">
        <f>IF(B7="","",ROW()-5)</f>
        <v/>
      </c>
      <c r="B7" s="11" t="inlineStr">
        <is>
          <t>26/07/2026</t>
        </is>
      </c>
      <c r="C7" s="11" t="inlineStr">
        <is>
          <t>ERA Enchères Rhône-Alpes</t>
        </is>
      </c>
      <c r="D7" s="11" t="inlineStr">
        <is>
          <t>Facture</t>
        </is>
      </c>
      <c r="E7" s="11" t="inlineStr">
        <is>
          <t>Pompe immergée ROBBY VP550W noir/gris — comme neuf, SOCLE CASSÉ</t>
        </is>
      </c>
      <c r="F7" s="11" t="inlineStr">
        <is>
          <t>Robby VP550W — réf. 10300-238 / OE-4</t>
        </is>
      </c>
      <c r="G7" s="12" t="n">
        <v>28.29</v>
      </c>
      <c r="H7" s="11" t="inlineStr">
        <is>
          <t>Carte</t>
        </is>
      </c>
      <c r="I7" s="11" t="inlineStr"/>
      <c r="J7" s="12" t="inlineStr"/>
      <c r="K7" s="11" t="inlineStr">
        <is>
          <t>Socle cassé — défaut à déclarer dans l'annonce</t>
        </is>
      </c>
    </row>
    <row r="8">
      <c r="A8" s="10">
        <f>IF(B8="","",ROW()-5)</f>
        <v/>
      </c>
      <c r="B8" s="11" t="inlineStr">
        <is>
          <t>26/07/2026</t>
        </is>
      </c>
      <c r="C8" s="11" t="inlineStr">
        <is>
          <t>ERA Enchères Rhône-Alpes</t>
        </is>
      </c>
      <c r="D8" s="11" t="inlineStr">
        <is>
          <t>Facture</t>
        </is>
      </c>
      <c r="E8" s="11" t="inlineStr">
        <is>
          <t>Pompe immergée ROBBY VP550W bleu et noir — occasion, NE MARCHE QU'EN MODE AUTO</t>
        </is>
      </c>
      <c r="F8" s="11" t="inlineStr">
        <is>
          <t>Robby VP550W — réf. 9326-371 / JC-7</t>
        </is>
      </c>
      <c r="G8" s="12" t="n">
        <v>19.41</v>
      </c>
      <c r="H8" s="11" t="inlineStr">
        <is>
          <t>Carte</t>
        </is>
      </c>
      <c r="I8" s="11" t="inlineStr">
        <is>
          <t>13/08/2026</t>
        </is>
      </c>
      <c r="J8" s="12" t="inlineStr"/>
      <c r="K8" s="11" t="inlineStr">
        <is>
          <t>PRÉLÈVEMENT PERSONNEL — gardée, hors chiffre d'affaires. Ne fonctionne qu'en mode automatique. Date de sortie à confirmer : c'est celle où la décision a été prise, pas celle de l'achat.</t>
        </is>
      </c>
    </row>
    <row r="9">
      <c r="A9" s="16">
        <f>IF(B9="","",ROW()-5)</f>
        <v/>
      </c>
      <c r="B9" s="17" t="inlineStr">
        <is>
          <t>28/07/2026</t>
        </is>
      </c>
      <c r="C9" s="17" t="inlineStr">
        <is>
          <t>ADN Enchères — Lyon</t>
        </is>
      </c>
      <c r="D9" s="17" t="inlineStr">
        <is>
          <t>Facture — opérateur de ventes volontaires agréé</t>
        </is>
      </c>
      <c r="E9" s="17" t="inlineStr">
        <is>
          <t>Lot de 12 paires de tongs HAVAIANAS fuchsia 35/36 — neuf</t>
        </is>
      </c>
      <c r="F9" s="17" t="inlineStr">
        <is>
          <t>Havaianas</t>
        </is>
      </c>
      <c r="G9" s="18" t="n">
        <v>100.8</v>
      </c>
      <c r="H9" s="17" t="inlineStr">
        <is>
          <t>Carte</t>
        </is>
      </c>
      <c r="I9" s="17" t="inlineStr">
        <is>
          <t>10/08/2026</t>
        </is>
      </c>
      <c r="J9" s="18" t="n">
        <v>43</v>
      </c>
      <c r="K9" s="17" t="inlineStr">
        <is>
          <t>Sortie partielle : 3 paires sur 12 vendues sur Vinted (2 × 14 € encaissées le 10/08, 1 × 15 € encaissée le 10/09) — 9 restent en stock</t>
        </is>
      </c>
    </row>
    <row r="10">
      <c r="A10" s="16">
        <f>IF(B10="","",ROW()-5)</f>
        <v/>
      </c>
      <c r="B10" s="17" t="inlineStr">
        <is>
          <t>28/07/2026</t>
        </is>
      </c>
      <c r="C10" s="17" t="inlineStr">
        <is>
          <t>ADN Enchères — Le Mans</t>
        </is>
      </c>
      <c r="D10" s="17" t="inlineStr">
        <is>
          <t>Facture — opérateur de ventes volontaires agréé</t>
        </is>
      </c>
      <c r="E10" s="17" t="inlineStr">
        <is>
          <t>Veste en jean ARMANI EXCHANGE T.S — neuve</t>
        </is>
      </c>
      <c r="F10" s="17" t="inlineStr">
        <is>
          <t>Armani Exchange</t>
        </is>
      </c>
      <c r="G10" s="18" t="n">
        <v>25.2</v>
      </c>
      <c r="H10" s="17" t="inlineStr">
        <is>
          <t>Carte</t>
        </is>
      </c>
      <c r="I10" s="17" t="inlineStr">
        <is>
          <t>09/08/2026</t>
        </is>
      </c>
      <c r="J10" s="18" t="n">
        <v>50</v>
      </c>
      <c r="K10" s="17" t="inlineStr">
        <is>
          <t>Vendu à Mme Aouimeur Siham</t>
        </is>
      </c>
    </row>
    <row r="11">
      <c r="A11" s="10">
        <f>IF(B11="","",ROW()-5)</f>
        <v/>
      </c>
      <c r="B11" s="11" t="inlineStr">
        <is>
          <t>28/07/2026</t>
        </is>
      </c>
      <c r="C11" s="11" t="inlineStr">
        <is>
          <t>ADN Enchères — Le Mans</t>
        </is>
      </c>
      <c r="D11" s="11" t="inlineStr">
        <is>
          <t>Facture — opérateur de ventes volontaires agréé</t>
        </is>
      </c>
      <c r="E11" s="11" t="inlineStr">
        <is>
          <t>Lot de 4 gilets de flottaison MRS.ERTHA 3-6 ans — neuf</t>
        </is>
      </c>
      <c r="F11" s="11" t="inlineStr">
        <is>
          <t>Mrs.Ertha</t>
        </is>
      </c>
      <c r="G11" s="12" t="n">
        <v>37.8</v>
      </c>
      <c r="H11" s="11" t="inlineStr">
        <is>
          <t>Carte</t>
        </is>
      </c>
      <c r="I11" s="11" t="inlineStr"/>
      <c r="J11" s="12" t="inlineStr"/>
      <c r="K11" s="11" t="inlineStr"/>
    </row>
    <row r="12">
      <c r="A12" s="10">
        <f>IF(B12="","",ROW()-5)</f>
        <v/>
      </c>
      <c r="B12" s="11" t="inlineStr">
        <is>
          <t>28/07/2026</t>
        </is>
      </c>
      <c r="C12" s="11" t="inlineStr">
        <is>
          <t>ADN Enchères — Le Mans</t>
        </is>
      </c>
      <c r="D12" s="11" t="inlineStr">
        <is>
          <t>Facture — opérateur de ventes volontaires agréé</t>
        </is>
      </c>
      <c r="E12" s="11" t="inlineStr">
        <is>
          <t>Robe SANDRO T.40 — neuve</t>
        </is>
      </c>
      <c r="F12" s="11" t="inlineStr">
        <is>
          <t>Sandro</t>
        </is>
      </c>
      <c r="G12" s="12" t="n">
        <v>37.8</v>
      </c>
      <c r="H12" s="11" t="inlineStr">
        <is>
          <t>Carte</t>
        </is>
      </c>
      <c r="I12" s="11" t="inlineStr"/>
      <c r="J12" s="12" t="inlineStr"/>
      <c r="K12" s="11" t="inlineStr"/>
    </row>
    <row r="13">
      <c r="A13" s="10">
        <f>IF(B13="","",ROW()-5)</f>
        <v/>
      </c>
      <c r="B13" s="11" t="inlineStr">
        <is>
          <t>28/07/2026</t>
        </is>
      </c>
      <c r="C13" s="11" t="inlineStr">
        <is>
          <t>ADN Enchères — Le Mans</t>
        </is>
      </c>
      <c r="D13" s="11" t="inlineStr">
        <is>
          <t>Facture — opérateur de ventes volontaires agréé</t>
        </is>
      </c>
      <c r="E13" s="11" t="inlineStr">
        <is>
          <t>Baskets HOKA P.37 1/3 — neuves</t>
        </is>
      </c>
      <c r="F13" s="11" t="inlineStr">
        <is>
          <t>Hoka</t>
        </is>
      </c>
      <c r="G13" s="12" t="n">
        <v>63</v>
      </c>
      <c r="H13" s="11" t="inlineStr">
        <is>
          <t>Carte</t>
        </is>
      </c>
      <c r="I13" s="11" t="inlineStr">
        <is>
          <t>09/08/2026</t>
        </is>
      </c>
      <c r="J13" s="12" t="inlineStr"/>
      <c r="K13" s="11" t="inlineStr">
        <is>
          <t>PRÉLÈVEMENT PERSONNEL — gardées, hors chiffre d'affaires</t>
        </is>
      </c>
    </row>
    <row r="14">
      <c r="A14" s="10">
        <f>IF(B14="","",ROW()-5)</f>
        <v/>
      </c>
      <c r="B14" s="11" t="inlineStr">
        <is>
          <t>28/07/2026</t>
        </is>
      </c>
      <c r="C14" s="11" t="inlineStr">
        <is>
          <t>ADN Enchères — Le Mans</t>
        </is>
      </c>
      <c r="D14" s="11" t="inlineStr">
        <is>
          <t>Facture — opérateur de ventes volontaires agréé</t>
        </is>
      </c>
      <c r="E14" s="11" t="inlineStr">
        <is>
          <t>Baskets NIKE Air Max Moto 2K P.44.5 — neuves</t>
        </is>
      </c>
      <c r="F14" s="11" t="inlineStr">
        <is>
          <t>Nike</t>
        </is>
      </c>
      <c r="G14" s="12" t="n">
        <v>50.4</v>
      </c>
      <c r="H14" s="11" t="inlineStr">
        <is>
          <t>Carte</t>
        </is>
      </c>
      <c r="I14" s="11" t="inlineStr">
        <is>
          <t>09/08/2026</t>
        </is>
      </c>
      <c r="J14" s="12" t="inlineStr"/>
      <c r="K14" s="11" t="inlineStr">
        <is>
          <t>PRÉLÈVEMENT PERSONNEL — gardées, hors chiffre d'affaires</t>
        </is>
      </c>
    </row>
    <row r="15">
      <c r="A15" s="10">
        <f>IF(B15="","",ROW()-5)</f>
        <v/>
      </c>
      <c r="B15" s="11" t="inlineStr">
        <is>
          <t>28/07/2026</t>
        </is>
      </c>
      <c r="C15" s="11" t="inlineStr">
        <is>
          <t>ADN Enchères — Le Mans</t>
        </is>
      </c>
      <c r="D15" s="11" t="inlineStr">
        <is>
          <t>Facture — opérateur de ventes volontaires agréé</t>
        </is>
      </c>
      <c r="E15" s="11" t="inlineStr">
        <is>
          <t>Chaussures HOGAN P.36 — traces d'essayage</t>
        </is>
      </c>
      <c r="F15" s="11" t="inlineStr">
        <is>
          <t>Hogan</t>
        </is>
      </c>
      <c r="G15" s="12" t="n">
        <v>12.6</v>
      </c>
      <c r="H15" s="11" t="inlineStr">
        <is>
          <t>Carte</t>
        </is>
      </c>
      <c r="I15" s="11" t="inlineStr"/>
      <c r="J15" s="12" t="inlineStr"/>
      <c r="K15" s="11" t="inlineStr"/>
    </row>
    <row r="16">
      <c r="A16" s="16">
        <f>IF(B16="","",ROW()-5)</f>
        <v/>
      </c>
      <c r="B16" s="17" t="inlineStr">
        <is>
          <t>28/07/2026</t>
        </is>
      </c>
      <c r="C16" s="17" t="inlineStr">
        <is>
          <t>ADN Enchères — Le Mans</t>
        </is>
      </c>
      <c r="D16" s="17" t="inlineStr">
        <is>
          <t>Facture — opérateur de ventes volontaires agréé</t>
        </is>
      </c>
      <c r="E16" s="17" t="inlineStr">
        <is>
          <t>NEW BALANCE G19064IK Alkaline Green P.38½ — neuves avec boîte</t>
        </is>
      </c>
      <c r="F16" s="17" t="inlineStr">
        <is>
          <t>New Balance</t>
        </is>
      </c>
      <c r="G16" s="18" t="n">
        <v>75.59999999999999</v>
      </c>
      <c r="H16" s="17" t="inlineStr">
        <is>
          <t>Carte</t>
        </is>
      </c>
      <c r="I16" s="17" t="inlineStr">
        <is>
          <t>10/09/2026</t>
        </is>
      </c>
      <c r="J16" s="18" t="n">
        <v>99</v>
      </c>
      <c r="K16" s="17" t="inlineStr">
        <is>
          <t>Vendue sur Vinted, encaissée le 10/09/2026</t>
        </is>
      </c>
    </row>
    <row r="17">
      <c r="A17" s="10">
        <f>IF(B17="","",ROW()-5)</f>
        <v/>
      </c>
      <c r="B17" s="11" t="inlineStr">
        <is>
          <t>28/07/2026</t>
        </is>
      </c>
      <c r="C17" s="11" t="inlineStr">
        <is>
          <t>ADN Enchères — Le Mans</t>
        </is>
      </c>
      <c r="D17" s="11" t="inlineStr">
        <is>
          <t>Facture — opérateur de ventes volontaires agréé</t>
        </is>
      </c>
      <c r="E17" s="11" t="inlineStr">
        <is>
          <t>Lot de 2 paires ADIDAS Predator Edge P.48 2/3 — neuves</t>
        </is>
      </c>
      <c r="F17" s="11" t="inlineStr">
        <is>
          <t>Adidas</t>
        </is>
      </c>
      <c r="G17" s="12" t="n">
        <v>37.8</v>
      </c>
      <c r="H17" s="11" t="inlineStr">
        <is>
          <t>Carte</t>
        </is>
      </c>
      <c r="I17" s="11" t="inlineStr"/>
      <c r="J17" s="12" t="inlineStr"/>
      <c r="K17" s="11" t="inlineStr"/>
    </row>
    <row r="18">
      <c r="A18" s="10">
        <f>IF(B18="","",ROW()-5)</f>
        <v/>
      </c>
      <c r="B18" s="11" t="inlineStr">
        <is>
          <t>28/07/2026</t>
        </is>
      </c>
      <c r="C18" s="11" t="inlineStr">
        <is>
          <t>ADN Enchères — Le Mans</t>
        </is>
      </c>
      <c r="D18" s="11" t="inlineStr">
        <is>
          <t>Facture — opérateur de ventes volontaires agréé</t>
        </is>
      </c>
      <c r="E18" s="11" t="inlineStr">
        <is>
          <t>Short BA&amp;SH Fegor T.34 — neuf</t>
        </is>
      </c>
      <c r="F18" s="11" t="inlineStr">
        <is>
          <t>ba&amp;sh</t>
        </is>
      </c>
      <c r="G18" s="12" t="n">
        <v>50.4</v>
      </c>
      <c r="H18" s="11" t="inlineStr">
        <is>
          <t>Carte</t>
        </is>
      </c>
      <c r="I18" s="11" t="inlineStr"/>
      <c r="J18" s="12" t="inlineStr"/>
      <c r="K18" s="11" t="inlineStr"/>
    </row>
    <row r="19">
      <c r="A19" s="10">
        <f>IF(B19="","",ROW()-5)</f>
        <v/>
      </c>
      <c r="B19" s="11" t="inlineStr">
        <is>
          <t>28/07/2026</t>
        </is>
      </c>
      <c r="C19" s="11" t="inlineStr">
        <is>
          <t>ADN Enchères — Le Mans</t>
        </is>
      </c>
      <c r="D19" s="11" t="inlineStr">
        <is>
          <t>Facture — opérateur de ventes volontaires agréé</t>
        </is>
      </c>
      <c r="E19" s="11" t="inlineStr">
        <is>
          <t>Jupe midi SONIA RYKIEL T.34 — neuve</t>
        </is>
      </c>
      <c r="F19" s="11" t="inlineStr">
        <is>
          <t>Sonia Rykiel</t>
        </is>
      </c>
      <c r="G19" s="12" t="n">
        <v>37.8</v>
      </c>
      <c r="H19" s="11" t="inlineStr">
        <is>
          <t>Carte</t>
        </is>
      </c>
      <c r="I19" s="11" t="inlineStr"/>
      <c r="J19" s="12" t="inlineStr"/>
      <c r="K19" s="11" t="inlineStr"/>
    </row>
    <row r="20">
      <c r="A20" s="16">
        <f>IF(B20="","",ROW()-5)</f>
        <v/>
      </c>
      <c r="B20" s="17" t="inlineStr">
        <is>
          <t>28/07/2026</t>
        </is>
      </c>
      <c r="C20" s="17" t="inlineStr">
        <is>
          <t>ADN Enchères — Le Mans</t>
        </is>
      </c>
      <c r="D20" s="17" t="inlineStr">
        <is>
          <t>Facture — opérateur de ventes volontaires agréé</t>
        </is>
      </c>
      <c r="E20" s="17" t="inlineStr">
        <is>
          <t>Sac demi-lune nylon noir KARL LAGERFELD JEANS — neuf avec étiquette</t>
        </is>
      </c>
      <c r="F20" s="17" t="inlineStr">
        <is>
          <t>Karl Lagerfeld Jeans</t>
        </is>
      </c>
      <c r="G20" s="18" t="n">
        <v>50.4</v>
      </c>
      <c r="H20" s="17" t="inlineStr">
        <is>
          <t>Carte</t>
        </is>
      </c>
      <c r="I20" s="17" t="inlineStr">
        <is>
          <t>09/08/2026</t>
        </is>
      </c>
      <c r="J20" s="18" t="n">
        <v>70</v>
      </c>
      <c r="K20" s="17" t="inlineStr">
        <is>
          <t>Vendu à Mme Aouimeur Siham</t>
        </is>
      </c>
    </row>
    <row r="21">
      <c r="A21" s="10">
        <f>IF(B21="","",ROW()-5)</f>
        <v/>
      </c>
      <c r="B21" s="11" t="inlineStr">
        <is>
          <t>28/07/2026</t>
        </is>
      </c>
      <c r="C21" s="11" t="inlineStr">
        <is>
          <t>ADN Enchères — Le Mans</t>
        </is>
      </c>
      <c r="D21" s="11" t="inlineStr">
        <is>
          <t>Facture — opérateur de ventes volontaires agréé</t>
        </is>
      </c>
      <c r="E21" s="11" t="inlineStr">
        <is>
          <t>ADIDAS x STELLA McCARTNEY ASMC Ultraboost 21 P.36 — modèle d'exposition</t>
        </is>
      </c>
      <c r="F21" s="11" t="inlineStr">
        <is>
          <t>Adidas x Stella McCartney</t>
        </is>
      </c>
      <c r="G21" s="12" t="n">
        <v>37.8</v>
      </c>
      <c r="H21" s="11" t="inlineStr">
        <is>
          <t>Carte</t>
        </is>
      </c>
      <c r="I21" s="11" t="inlineStr"/>
      <c r="J21" s="12" t="inlineStr"/>
      <c r="K21" s="11" t="inlineStr"/>
    </row>
    <row r="22">
      <c r="A22" s="10">
        <f>IF(B22="","",ROW()-5)</f>
        <v/>
      </c>
      <c r="B22" s="11" t="inlineStr">
        <is>
          <t>28/07/2026</t>
        </is>
      </c>
      <c r="C22" s="11" t="inlineStr">
        <is>
          <t>ADN Enchères — Le Mans</t>
        </is>
      </c>
      <c r="D22" s="11" t="inlineStr">
        <is>
          <t>Facture — opérateur de ventes volontaires agréé</t>
        </is>
      </c>
      <c r="E22" s="11" t="inlineStr">
        <is>
          <t>Ballerines MASSIMO DUTTI P.41 — traces d'essayage</t>
        </is>
      </c>
      <c r="F22" s="11" t="inlineStr">
        <is>
          <t>Massimo Dutti</t>
        </is>
      </c>
      <c r="G22" s="12" t="n">
        <v>25.2</v>
      </c>
      <c r="H22" s="11" t="inlineStr">
        <is>
          <t>Carte</t>
        </is>
      </c>
      <c r="I22" s="11" t="inlineStr">
        <is>
          <t>17/10/2026</t>
        </is>
      </c>
      <c r="J22" s="12" t="n">
        <v>50</v>
      </c>
      <c r="K22" s="11" t="inlineStr">
        <is>
          <t>Vendu sur Vinted à « anavdlr », encaissement en attente</t>
        </is>
      </c>
    </row>
    <row r="23">
      <c r="A23" s="10">
        <f>IF(B23="","",ROW()-5)</f>
        <v/>
      </c>
      <c r="B23" s="11" t="inlineStr">
        <is>
          <t>03/08/2026</t>
        </is>
      </c>
      <c r="C23" s="11" t="inlineStr">
        <is>
          <t>ADN Enchères — Lyon</t>
        </is>
      </c>
      <c r="D23" s="11" t="inlineStr">
        <is>
          <t>Facture — opérateur de ventes volontaires agréé</t>
        </is>
      </c>
      <c r="E23" s="11" t="inlineStr">
        <is>
          <t>NEW BALANCE sneakers P.38 — neuves</t>
        </is>
      </c>
      <c r="F23" s="11" t="inlineStr">
        <is>
          <t>New Balance</t>
        </is>
      </c>
      <c r="G23" s="12" t="n">
        <v>38.34</v>
      </c>
      <c r="H23" s="11" t="inlineStr">
        <is>
          <t>Carte</t>
        </is>
      </c>
      <c r="I23" s="11" t="inlineStr"/>
      <c r="J23" s="12" t="inlineStr"/>
      <c r="K23" s="11" t="inlineStr"/>
    </row>
    <row r="24">
      <c r="A24" s="16">
        <f>IF(B24="","",ROW()-5)</f>
        <v/>
      </c>
      <c r="B24" s="17" t="inlineStr">
        <is>
          <t>03/08/2026</t>
        </is>
      </c>
      <c r="C24" s="17" t="inlineStr">
        <is>
          <t>ADN Enchères — Lyon</t>
        </is>
      </c>
      <c r="D24" s="17" t="inlineStr">
        <is>
          <t>Facture — opérateur de ventes volontaires agréé</t>
        </is>
      </c>
      <c r="E24" s="17" t="inlineStr">
        <is>
          <t>LACOSTE sneakers P.42 — neuves</t>
        </is>
      </c>
      <c r="F24" s="17" t="inlineStr">
        <is>
          <t>Lacoste</t>
        </is>
      </c>
      <c r="G24" s="18" t="n">
        <v>57.51</v>
      </c>
      <c r="H24" s="17" t="inlineStr">
        <is>
          <t>Carte</t>
        </is>
      </c>
      <c r="I24" s="17" t="inlineStr">
        <is>
          <t>09/08/2026</t>
        </is>
      </c>
      <c r="J24" s="18" t="n">
        <v>70</v>
      </c>
      <c r="K24" s="17" t="inlineStr">
        <is>
          <t>Vendu à Mme Aouimeur Siham</t>
        </is>
      </c>
    </row>
    <row r="25">
      <c r="A25" s="10">
        <f>IF(B25="","",ROW()-5)</f>
        <v/>
      </c>
      <c r="B25" s="11" t="inlineStr">
        <is>
          <t>03/08/2026</t>
        </is>
      </c>
      <c r="C25" s="11" t="inlineStr">
        <is>
          <t>ADN Enchères — Lyon</t>
        </is>
      </c>
      <c r="D25" s="11" t="inlineStr">
        <is>
          <t>Facture — opérateur de ventes volontaires agréé</t>
        </is>
      </c>
      <c r="E25" s="11" t="inlineStr">
        <is>
          <t>EMPORIO ARMANI baskets P.36 — neuves</t>
        </is>
      </c>
      <c r="F25" s="11" t="inlineStr">
        <is>
          <t>Emporio Armani</t>
        </is>
      </c>
      <c r="G25" s="12" t="n">
        <v>51.12</v>
      </c>
      <c r="H25" s="11" t="inlineStr">
        <is>
          <t>Carte</t>
        </is>
      </c>
      <c r="I25" s="11" t="inlineStr"/>
      <c r="J25" s="12" t="inlineStr"/>
      <c r="K25" s="11" t="inlineStr"/>
    </row>
    <row r="26">
      <c r="A26" s="10">
        <f>IF(B26="","",ROW()-5)</f>
        <v/>
      </c>
      <c r="B26" s="11" t="inlineStr">
        <is>
          <t>03/08/2026</t>
        </is>
      </c>
      <c r="C26" s="11" t="inlineStr">
        <is>
          <t>ADN Enchères — Lyon</t>
        </is>
      </c>
      <c r="D26" s="11" t="inlineStr">
        <is>
          <t>Facture — opérateur de ventes volontaires agréé</t>
        </is>
      </c>
      <c r="E26" s="11" t="inlineStr">
        <is>
          <t>GEOX baskets P.35 — neuves</t>
        </is>
      </c>
      <c r="F26" s="11" t="inlineStr">
        <is>
          <t>Geox</t>
        </is>
      </c>
      <c r="G26" s="12" t="n">
        <v>21.73</v>
      </c>
      <c r="H26" s="11" t="inlineStr">
        <is>
          <t>Carte</t>
        </is>
      </c>
      <c r="I26" s="11" t="inlineStr"/>
      <c r="J26" s="12" t="inlineStr"/>
      <c r="K26" s="11" t="inlineStr"/>
    </row>
    <row r="27">
      <c r="A27" s="10">
        <f>IF(B27="","",ROW()-5)</f>
        <v/>
      </c>
      <c r="B27" s="11" t="inlineStr">
        <is>
          <t>03/08/2026</t>
        </is>
      </c>
      <c r="C27" s="11" t="inlineStr">
        <is>
          <t>ADN Enchères — Lyon</t>
        </is>
      </c>
      <c r="D27" s="11" t="inlineStr">
        <is>
          <t>Facture — opérateur de ventes volontaires agréé</t>
        </is>
      </c>
      <c r="E27" s="11" t="inlineStr">
        <is>
          <t>NEW BALANCE baskets montantes P.44 — neuves</t>
        </is>
      </c>
      <c r="F27" s="11" t="inlineStr">
        <is>
          <t>New Balance</t>
        </is>
      </c>
      <c r="G27" s="12" t="n">
        <v>51.12</v>
      </c>
      <c r="H27" s="11" t="inlineStr">
        <is>
          <t>Carte</t>
        </is>
      </c>
      <c r="I27" s="11" t="inlineStr"/>
      <c r="J27" s="12" t="inlineStr"/>
      <c r="K27" s="11" t="inlineStr"/>
    </row>
    <row r="28">
      <c r="A28" s="10">
        <f>IF(B28="","",ROW()-5)</f>
        <v/>
      </c>
      <c r="B28" s="11" t="inlineStr">
        <is>
          <t>03/08/2026</t>
        </is>
      </c>
      <c r="C28" s="11" t="inlineStr">
        <is>
          <t>ADN Enchères — Lyon</t>
        </is>
      </c>
      <c r="D28" s="11" t="inlineStr">
        <is>
          <t>Facture — opérateur de ventes volontaires agréé</t>
        </is>
      </c>
      <c r="E28" s="11" t="inlineStr">
        <is>
          <t>TOMMY JEANS baskets basses P.40 — neuves</t>
        </is>
      </c>
      <c r="F28" s="11" t="inlineStr">
        <is>
          <t>Tommy Jeans</t>
        </is>
      </c>
      <c r="G28" s="12" t="n">
        <v>52.4</v>
      </c>
      <c r="H28" s="11" t="inlineStr">
        <is>
          <t>Carte</t>
        </is>
      </c>
      <c r="I28" s="11" t="inlineStr"/>
      <c r="J28" s="12" t="inlineStr"/>
      <c r="K28" s="11" t="inlineStr"/>
    </row>
    <row r="29">
      <c r="A29" s="10">
        <f>IF(B29="","",ROW()-5)</f>
        <v/>
      </c>
      <c r="B29" s="11" t="inlineStr">
        <is>
          <t>03/08/2026</t>
        </is>
      </c>
      <c r="C29" s="11" t="inlineStr">
        <is>
          <t>ADN Enchères — Lyon</t>
        </is>
      </c>
      <c r="D29" s="11" t="inlineStr">
        <is>
          <t>Facture — opérateur de ventes volontaires agréé</t>
        </is>
      </c>
      <c r="E29" s="11" t="inlineStr">
        <is>
          <t>PHILIPP PLEIN SPORT baskets montantes P.40 — neuves</t>
        </is>
      </c>
      <c r="F29" s="11" t="inlineStr">
        <is>
          <t>Philipp Plein Sport</t>
        </is>
      </c>
      <c r="G29" s="12" t="n">
        <v>57.51</v>
      </c>
      <c r="H29" s="11" t="inlineStr">
        <is>
          <t>Carte</t>
        </is>
      </c>
      <c r="I29" s="11" t="inlineStr"/>
      <c r="J29" s="12" t="inlineStr"/>
      <c r="K29" s="11" t="inlineStr"/>
    </row>
    <row r="30">
      <c r="A30" s="10">
        <f>IF(B30="","",ROW()-5)</f>
        <v/>
      </c>
      <c r="B30" s="11" t="inlineStr">
        <is>
          <t>03/08/2026</t>
        </is>
      </c>
      <c r="C30" s="11" t="inlineStr">
        <is>
          <t>ADN Enchères — Lyon</t>
        </is>
      </c>
      <c r="D30" s="11" t="inlineStr">
        <is>
          <t>Facture — opérateur de ventes volontaires agréé</t>
        </is>
      </c>
      <c r="E30" s="11" t="inlineStr">
        <is>
          <t>PIER ANTONIO GASPARI robe droite bleu marine T.42 — neuve</t>
        </is>
      </c>
      <c r="F30" s="11" t="inlineStr">
        <is>
          <t>Pier Antonio Gaspari</t>
        </is>
      </c>
      <c r="G30" s="12" t="n">
        <v>25.56</v>
      </c>
      <c r="H30" s="11" t="inlineStr">
        <is>
          <t>Carte</t>
        </is>
      </c>
      <c r="I30" s="11" t="inlineStr"/>
      <c r="J30" s="12" t="inlineStr"/>
      <c r="K30" s="11" t="inlineStr"/>
    </row>
    <row r="31">
      <c r="A31" s="10">
        <f>IF(B31="","",ROW()-5)</f>
        <v/>
      </c>
      <c r="B31" s="11" t="inlineStr">
        <is>
          <t>03/08/2026</t>
        </is>
      </c>
      <c r="C31" s="11" t="inlineStr">
        <is>
          <t>ADN Enchères — Lyon</t>
        </is>
      </c>
      <c r="D31" s="11" t="inlineStr">
        <is>
          <t>Facture — opérateur de ventes volontaires agréé</t>
        </is>
      </c>
      <c r="E31" s="11" t="inlineStr">
        <is>
          <t>ELISABETTA FRANCHI robe asymétrique viscose T.46 IT — neuve</t>
        </is>
      </c>
      <c r="F31" s="11" t="inlineStr">
        <is>
          <t>Elisabetta Franchi</t>
        </is>
      </c>
      <c r="G31" s="12" t="n">
        <v>20.45</v>
      </c>
      <c r="H31" s="11" t="inlineStr">
        <is>
          <t>Carte</t>
        </is>
      </c>
      <c r="I31" s="11" t="inlineStr"/>
      <c r="J31" s="12" t="inlineStr"/>
      <c r="K31" s="11" t="inlineStr"/>
    </row>
    <row r="32">
      <c r="A32" s="10">
        <f>IF(B32="","",ROW()-5)</f>
        <v/>
      </c>
      <c r="B32" s="11" t="inlineStr">
        <is>
          <t>03/08/2026</t>
        </is>
      </c>
      <c r="C32" s="11" t="inlineStr">
        <is>
          <t>ADN Enchères — Lyon</t>
        </is>
      </c>
      <c r="D32" s="11" t="inlineStr">
        <is>
          <t>Facture — opérateur de ventes volontaires agréé</t>
        </is>
      </c>
      <c r="E32" s="11" t="inlineStr">
        <is>
          <t>CHIARA FERRAGNI robe bustier courte T.M — neuve</t>
        </is>
      </c>
      <c r="F32" s="11" t="inlineStr">
        <is>
          <t>Chiara Ferragni</t>
        </is>
      </c>
      <c r="G32" s="12" t="n">
        <v>31.95</v>
      </c>
      <c r="H32" s="11" t="inlineStr">
        <is>
          <t>Carte</t>
        </is>
      </c>
      <c r="I32" s="11" t="inlineStr"/>
      <c r="J32" s="12" t="inlineStr"/>
      <c r="K32" s="11" t="inlineStr"/>
    </row>
    <row r="33">
      <c r="A33" s="16">
        <f>IF(B33="","",ROW()-5)</f>
        <v/>
      </c>
      <c r="B33" s="17" t="inlineStr">
        <is>
          <t>03/08/2026</t>
        </is>
      </c>
      <c r="C33" s="17" t="inlineStr">
        <is>
          <t>ADN Enchères — Le Mans</t>
        </is>
      </c>
      <c r="D33" s="17" t="inlineStr">
        <is>
          <t>Facture — opérateur de ventes volontaires agréé</t>
        </is>
      </c>
      <c r="E33" s="17" t="inlineStr">
        <is>
          <t>SALOMON X Ultra 5 Mid GTX P.44 — neuves</t>
        </is>
      </c>
      <c r="F33" s="17" t="inlineStr">
        <is>
          <t>Salomon</t>
        </is>
      </c>
      <c r="G33" s="18" t="n">
        <v>76.68000000000001</v>
      </c>
      <c r="H33" s="17" t="inlineStr">
        <is>
          <t>Carte</t>
        </is>
      </c>
      <c r="I33" s="17" t="inlineStr">
        <is>
          <t>12/08/2026</t>
        </is>
      </c>
      <c r="J33" s="18" t="n">
        <v>100</v>
      </c>
      <c r="K33" s="17" t="inlineStr">
        <is>
          <t>Vendu sur Vinted (Italie), encaissé le 21/08/2026</t>
        </is>
      </c>
    </row>
    <row r="34">
      <c r="A34" s="10">
        <f>IF(B34="","",ROW()-5)</f>
        <v/>
      </c>
      <c r="B34" s="11" t="inlineStr">
        <is>
          <t>03/08/2026</t>
        </is>
      </c>
      <c r="C34" s="11" t="inlineStr">
        <is>
          <t>ADN Enchères — Le Mans</t>
        </is>
      </c>
      <c r="D34" s="11" t="inlineStr">
        <is>
          <t>Facture — opérateur de ventes volontaires agréé</t>
        </is>
      </c>
      <c r="E34" s="11" t="inlineStr">
        <is>
          <t>Lot de 4 toupies BEYBLADE HASBRO</t>
        </is>
      </c>
      <c r="F34" s="11" t="inlineStr">
        <is>
          <t>Beyblade — Hasbro</t>
        </is>
      </c>
      <c r="G34" s="12" t="n">
        <v>19.17</v>
      </c>
      <c r="H34" s="11" t="inlineStr">
        <is>
          <t>Carte</t>
        </is>
      </c>
      <c r="I34" s="11" t="inlineStr"/>
      <c r="J34" s="12" t="inlineStr"/>
      <c r="K34" s="11" t="inlineStr"/>
    </row>
    <row r="35">
      <c r="A35" s="10">
        <f>IF(B35="","",ROW()-5)</f>
        <v/>
      </c>
      <c r="B35" s="11" t="inlineStr">
        <is>
          <t>03/08/2026</t>
        </is>
      </c>
      <c r="C35" s="11" t="inlineStr">
        <is>
          <t>ADN Enchères — Le Mans</t>
        </is>
      </c>
      <c r="D35" s="11" t="inlineStr">
        <is>
          <t>Facture — opérateur de ventes volontaires agréé</t>
        </is>
      </c>
      <c r="E35" s="11" t="inlineStr">
        <is>
          <t>Lot de 4 toupies BEYBLADE HASBRO</t>
        </is>
      </c>
      <c r="F35" s="11" t="inlineStr">
        <is>
          <t>Beyblade — Hasbro</t>
        </is>
      </c>
      <c r="G35" s="12" t="n">
        <v>38.34</v>
      </c>
      <c r="H35" s="11" t="inlineStr">
        <is>
          <t>Carte</t>
        </is>
      </c>
      <c r="I35" s="11" t="inlineStr"/>
      <c r="J35" s="12" t="inlineStr"/>
      <c r="K35" s="11" t="inlineStr"/>
    </row>
    <row r="36">
      <c r="A36" s="16">
        <f>IF(B36="","",ROW()-5)</f>
        <v/>
      </c>
      <c r="B36" s="17" t="inlineStr">
        <is>
          <t>03/08/2026</t>
        </is>
      </c>
      <c r="C36" s="17" t="inlineStr">
        <is>
          <t>ADN Enchères — Le Mans</t>
        </is>
      </c>
      <c r="D36" s="17" t="inlineStr">
        <is>
          <t>Facture — opérateur de ventes volontaires agréé</t>
        </is>
      </c>
      <c r="E36" s="17" t="inlineStr">
        <is>
          <t>T-shirt BALENCIAGA T.2 — neuf</t>
        </is>
      </c>
      <c r="F36" s="17" t="inlineStr">
        <is>
          <t>Balenciaga</t>
        </is>
      </c>
      <c r="G36" s="18" t="n">
        <v>113.4</v>
      </c>
      <c r="H36" s="17" t="inlineStr">
        <is>
          <t>Carte</t>
        </is>
      </c>
      <c r="I36" s="17" t="inlineStr">
        <is>
          <t>09/08/2026</t>
        </is>
      </c>
      <c r="J36" s="18" t="n">
        <v>155</v>
      </c>
      <c r="K36" s="17" t="inlineStr">
        <is>
          <t>Vendu à Mme Aouimeur Siham</t>
        </is>
      </c>
    </row>
    <row r="37">
      <c r="A37" s="10">
        <f>IF(B37="","",ROW()-5)</f>
        <v/>
      </c>
      <c r="B37" s="11" t="inlineStr">
        <is>
          <t>03/08/2026</t>
        </is>
      </c>
      <c r="C37" s="11" t="inlineStr">
        <is>
          <t>ADN Enchères — Le Mans</t>
        </is>
      </c>
      <c r="D37" s="11" t="inlineStr">
        <is>
          <t>Facture — opérateur de ventes volontaires agréé</t>
        </is>
      </c>
      <c r="E37" s="11" t="inlineStr">
        <is>
          <t>Blazer noir KARL LAGERFELD T.36 FR — neuf avec étiquette</t>
        </is>
      </c>
      <c r="F37" s="11" t="inlineStr">
        <is>
          <t>Karl Lagerfeld</t>
        </is>
      </c>
      <c r="G37" s="12" t="n">
        <v>50.4</v>
      </c>
      <c r="H37" s="11" t="inlineStr">
        <is>
          <t>Carte</t>
        </is>
      </c>
      <c r="I37" s="11" t="inlineStr"/>
      <c r="J37" s="12" t="inlineStr"/>
      <c r="K37" s="11" t="inlineStr"/>
    </row>
    <row r="38">
      <c r="A38" s="10">
        <f>IF(B38="","",ROW()-5)</f>
        <v/>
      </c>
      <c r="B38" s="11" t="inlineStr">
        <is>
          <t>03/08/2026</t>
        </is>
      </c>
      <c r="C38" s="11" t="inlineStr">
        <is>
          <t>Meccha Japan</t>
        </is>
      </c>
      <c r="D38" s="11" t="inlineStr">
        <is>
          <t>Facture</t>
        </is>
      </c>
      <c r="E38" s="11" t="inlineStr">
        <is>
          <t>1 booster box Pokémon MEGA Nihil Zero (Munikis Zero) M3 — 30 boosters de 5 cartes</t>
        </is>
      </c>
      <c r="F38" s="11" t="inlineStr">
        <is>
          <t>Pokémon — MEGA Nihil Zero M3 (réf. 4521329432274)</t>
        </is>
      </c>
      <c r="G38" s="12" t="n">
        <v>69.23999999999999</v>
      </c>
      <c r="H38" s="11" t="inlineStr">
        <is>
          <t>Carte</t>
        </is>
      </c>
      <c r="I38" s="11" t="inlineStr"/>
      <c r="J38" s="12" t="inlineStr"/>
      <c r="K38" s="11" t="inlineStr"/>
    </row>
    <row r="39">
      <c r="A39" s="10">
        <f>IF(B39="","",ROW()-5)</f>
        <v/>
      </c>
      <c r="B39" s="11" t="inlineStr">
        <is>
          <t>03/08/2026</t>
        </is>
      </c>
      <c r="C39" s="11" t="inlineStr">
        <is>
          <t>Meccha Japan</t>
        </is>
      </c>
      <c r="D39" s="11" t="inlineStr">
        <is>
          <t>Facture</t>
        </is>
      </c>
      <c r="E39" s="11" t="inlineStr">
        <is>
          <t>1 booster Pokémon High Class Pack MEGA Dream ex M2a — 10 cartes dans le booster</t>
        </is>
      </c>
      <c r="F39" s="11" t="inlineStr">
        <is>
          <t>Pokémon — High Class MEGA Dream ex M2a (réf. 4521329431925)</t>
        </is>
      </c>
      <c r="G39" s="12" t="n">
        <v>12.95</v>
      </c>
      <c r="H39" s="11" t="inlineStr">
        <is>
          <t>Carte</t>
        </is>
      </c>
      <c r="I39" s="11" t="inlineStr">
        <is>
          <t>13/08/2026</t>
        </is>
      </c>
      <c r="J39" s="12" t="inlineStr"/>
      <c r="K39" s="11" t="inlineStr">
        <is>
          <t>PRÉLÈVEMENT PERSONNEL — gardé, hors chiffre d'affaires. Invendable avec profit : marché 12,99 € pour un coût de 12,95 €. Date de sortie à confirmer.</t>
        </is>
      </c>
    </row>
    <row r="40">
      <c r="A40" s="10">
        <f>IF(B40="","",ROW()-5)</f>
        <v/>
      </c>
      <c r="B40" s="11" t="inlineStr">
        <is>
          <t>03/08/2026</t>
        </is>
      </c>
      <c r="C40" s="11" t="inlineStr">
        <is>
          <t>Meccha Japan</t>
        </is>
      </c>
      <c r="D40" s="11" t="inlineStr">
        <is>
          <t>Facture</t>
        </is>
      </c>
      <c r="E40" s="11" t="inlineStr">
        <is>
          <t>2 boosters Pokémon MEGA Storm Emeralda M6 — 5 cartes chacun</t>
        </is>
      </c>
      <c r="F40" s="11" t="inlineStr">
        <is>
          <t>Pokémon — MEGA Storm Emeralda M6 (réf. 4521329462226)</t>
        </is>
      </c>
      <c r="G40" s="12" t="n">
        <v>12.74</v>
      </c>
      <c r="H40" s="11" t="inlineStr">
        <is>
          <t>Carte</t>
        </is>
      </c>
      <c r="I40" s="11" t="inlineStr"/>
      <c r="J40" s="12" t="inlineStr"/>
      <c r="K40" s="11" t="inlineStr"/>
    </row>
    <row r="41">
      <c r="A41" s="10">
        <f>IF(B41="","",ROW()-5)</f>
        <v/>
      </c>
      <c r="B41" s="11" t="inlineStr">
        <is>
          <t>10/08/2026</t>
        </is>
      </c>
      <c r="C41" s="11" t="inlineStr">
        <is>
          <t>ADN Enchères — Le Mans</t>
        </is>
      </c>
      <c r="D41" s="11" t="inlineStr">
        <is>
          <t>Facture — opérateur de ventes volontaires agréé</t>
        </is>
      </c>
      <c r="E41" s="11" t="inlineStr">
        <is>
          <t>ADIDAS Yeezy 700 V3 Mono Safflower T.38 — occasion</t>
        </is>
      </c>
      <c r="F41" s="11" t="inlineStr">
        <is>
          <t>Adidas Yeezy</t>
        </is>
      </c>
      <c r="G41" s="12" t="n">
        <v>63</v>
      </c>
      <c r="H41" s="11" t="inlineStr">
        <is>
          <t>Carte</t>
        </is>
      </c>
      <c r="I41" s="11" t="inlineStr"/>
      <c r="J41" s="12" t="inlineStr"/>
      <c r="K41" s="11" t="inlineStr"/>
    </row>
    <row r="42">
      <c r="A42" s="10">
        <f>IF(B42="","",ROW()-5)</f>
        <v/>
      </c>
      <c r="B42" s="11" t="inlineStr">
        <is>
          <t>10/08/2026</t>
        </is>
      </c>
      <c r="C42" s="11" t="inlineStr">
        <is>
          <t>ADN Enchères — Le Mans</t>
        </is>
      </c>
      <c r="D42" s="11" t="inlineStr">
        <is>
          <t>Facture — opérateur de ventes volontaires agréé</t>
        </is>
      </c>
      <c r="E42" s="11" t="inlineStr">
        <is>
          <t>Lot de 6 vêtements femme MORGAN T.40 et L — neuf</t>
        </is>
      </c>
      <c r="F42" s="11" t="inlineStr">
        <is>
          <t>Morgan</t>
        </is>
      </c>
      <c r="G42" s="12" t="n">
        <v>37.8</v>
      </c>
      <c r="H42" s="11" t="inlineStr">
        <is>
          <t>Carte</t>
        </is>
      </c>
      <c r="I42" s="11" t="inlineStr"/>
      <c r="J42" s="12" t="inlineStr"/>
      <c r="K42" s="11" t="inlineStr"/>
    </row>
    <row r="43">
      <c r="A43" s="10">
        <f>IF(B43="","",ROW()-5)</f>
        <v/>
      </c>
      <c r="B43" s="11" t="inlineStr">
        <is>
          <t>10/08/2026</t>
        </is>
      </c>
      <c r="C43" s="11" t="inlineStr">
        <is>
          <t>ADN Enchères — Le Mans</t>
        </is>
      </c>
      <c r="D43" s="11" t="inlineStr">
        <is>
          <t>Facture — opérateur de ventes volontaires agréé</t>
        </is>
      </c>
      <c r="E43" s="11" t="inlineStr">
        <is>
          <t>Demi-bottes FORMA Legacy Waterproof T.45 noir — neuves</t>
        </is>
      </c>
      <c r="F43" s="11" t="inlineStr">
        <is>
          <t>Forma</t>
        </is>
      </c>
      <c r="G43" s="12" t="n">
        <v>63</v>
      </c>
      <c r="H43" s="11" t="inlineStr">
        <is>
          <t>Carte</t>
        </is>
      </c>
      <c r="I43" s="11" t="inlineStr"/>
      <c r="J43" s="12" t="inlineStr"/>
      <c r="K43" s="11" t="inlineStr"/>
    </row>
    <row r="44">
      <c r="A44" s="10">
        <f>IF(B44="","",ROW()-5)</f>
        <v/>
      </c>
      <c r="B44" s="11" t="inlineStr">
        <is>
          <t>10/08/2026</t>
        </is>
      </c>
      <c r="C44" s="11" t="inlineStr">
        <is>
          <t>ADN Enchères — Le Mans</t>
        </is>
      </c>
      <c r="D44" s="11" t="inlineStr">
        <is>
          <t>Facture — opérateur de ventes volontaires agréé</t>
        </is>
      </c>
      <c r="E44" s="11" t="inlineStr">
        <is>
          <t>Combinaison de pluie BMW Overall ProRain unisexe XL — neuve</t>
        </is>
      </c>
      <c r="F44" s="11" t="inlineStr">
        <is>
          <t>BMW</t>
        </is>
      </c>
      <c r="G44" s="12" t="n">
        <v>68.56999999999999</v>
      </c>
      <c r="H44" s="11" t="inlineStr">
        <is>
          <t>Carte</t>
        </is>
      </c>
      <c r="I44" s="11" t="inlineStr"/>
      <c r="J44" s="12" t="inlineStr"/>
      <c r="K44" s="11" t="inlineStr"/>
    </row>
    <row r="45">
      <c r="A45" s="10">
        <f>IF(B45="","",ROW()-5)</f>
        <v/>
      </c>
      <c r="B45" s="11" t="inlineStr">
        <is>
          <t>11/08/2026</t>
        </is>
      </c>
      <c r="C45" s="11" t="inlineStr">
        <is>
          <t>ADN Enchères — Lyon</t>
        </is>
      </c>
      <c r="D45" s="11" t="inlineStr">
        <is>
          <t>Facture — opérateur de ventes volontaires agréé</t>
        </is>
      </c>
      <c r="E45" s="11" t="inlineStr">
        <is>
          <t>Lot de 20 paires de sandales et tongs RELIFE / TOMMY JEANS — neuf</t>
        </is>
      </c>
      <c r="F45" s="11" t="inlineStr">
        <is>
          <t>Relife / Tommy Jeans</t>
        </is>
      </c>
      <c r="G45" s="12" t="n">
        <v>56.7</v>
      </c>
      <c r="H45" s="11" t="inlineStr">
        <is>
          <t>Carte</t>
        </is>
      </c>
      <c r="I45" s="11" t="inlineStr"/>
      <c r="J45" s="12" t="inlineStr"/>
      <c r="K45" s="11" t="inlineStr"/>
    </row>
    <row r="46">
      <c r="A46" s="10">
        <f>IF(B46="","",ROW()-5)</f>
        <v/>
      </c>
      <c r="B46" s="11" t="n"/>
      <c r="C46" s="11" t="n"/>
      <c r="D46" s="11" t="n"/>
      <c r="E46" s="11" t="n"/>
      <c r="F46" s="11" t="n"/>
      <c r="G46" s="12" t="n"/>
      <c r="H46" s="11" t="n"/>
      <c r="I46" s="11" t="n"/>
      <c r="J46" s="12" t="n"/>
      <c r="K46" s="11" t="n"/>
    </row>
    <row r="47">
      <c r="A47" s="10">
        <f>IF(B47="","",ROW()-5)</f>
        <v/>
      </c>
      <c r="B47" s="11" t="n"/>
      <c r="C47" s="11" t="n"/>
      <c r="D47" s="11" t="n"/>
      <c r="E47" s="11" t="n"/>
      <c r="F47" s="11" t="n"/>
      <c r="G47" s="12" t="n"/>
      <c r="H47" s="11" t="n"/>
      <c r="I47" s="11" t="n"/>
      <c r="J47" s="12" t="n"/>
      <c r="K47" s="11" t="n"/>
    </row>
    <row r="48">
      <c r="A48" s="10">
        <f>IF(B48="","",ROW()-5)</f>
        <v/>
      </c>
      <c r="B48" s="11" t="n"/>
      <c r="C48" s="11" t="n"/>
      <c r="D48" s="11" t="n"/>
      <c r="E48" s="11" t="n"/>
      <c r="F48" s="11" t="n"/>
      <c r="G48" s="12" t="n"/>
      <c r="H48" s="11" t="n"/>
      <c r="I48" s="11" t="n"/>
      <c r="J48" s="12" t="n"/>
      <c r="K48" s="11" t="n"/>
    </row>
    <row r="49">
      <c r="A49" s="10">
        <f>IF(B49="","",ROW()-5)</f>
        <v/>
      </c>
      <c r="B49" s="11" t="n"/>
      <c r="C49" s="11" t="n"/>
      <c r="D49" s="11" t="n"/>
      <c r="E49" s="11" t="n"/>
      <c r="F49" s="11" t="n"/>
      <c r="G49" s="12" t="n"/>
      <c r="H49" s="11" t="n"/>
      <c r="I49" s="11" t="n"/>
      <c r="J49" s="12" t="n"/>
      <c r="K49" s="11" t="n"/>
    </row>
    <row r="50">
      <c r="A50" s="10">
        <f>IF(B50="","",ROW()-5)</f>
        <v/>
      </c>
      <c r="B50" s="11" t="n"/>
      <c r="C50" s="11" t="n"/>
      <c r="D50" s="11" t="n"/>
      <c r="E50" s="11" t="n"/>
      <c r="F50" s="11" t="n"/>
      <c r="G50" s="12" t="n"/>
      <c r="H50" s="11" t="n"/>
      <c r="I50" s="11" t="n"/>
      <c r="J50" s="12" t="n"/>
      <c r="K50" s="11" t="n"/>
    </row>
    <row r="51">
      <c r="A51" s="10">
        <f>IF(B51="","",ROW()-5)</f>
        <v/>
      </c>
      <c r="B51" s="11" t="n"/>
      <c r="C51" s="11" t="n"/>
      <c r="D51" s="11" t="n"/>
      <c r="E51" s="11" t="n"/>
      <c r="F51" s="11" t="n"/>
      <c r="G51" s="12" t="n"/>
      <c r="H51" s="11" t="n"/>
      <c r="I51" s="11" t="n"/>
      <c r="J51" s="12" t="n"/>
      <c r="K51" s="11" t="n"/>
    </row>
    <row r="52">
      <c r="A52" s="10">
        <f>IF(B52="","",ROW()-5)</f>
        <v/>
      </c>
      <c r="B52" s="11" t="n"/>
      <c r="C52" s="11" t="n"/>
      <c r="D52" s="11" t="n"/>
      <c r="E52" s="11" t="n"/>
      <c r="F52" s="11" t="n"/>
      <c r="G52" s="12" t="n"/>
      <c r="H52" s="11" t="n"/>
      <c r="I52" s="11" t="n"/>
      <c r="J52" s="12" t="n"/>
      <c r="K52" s="11" t="n"/>
    </row>
    <row r="53">
      <c r="A53" s="10">
        <f>IF(B53="","",ROW()-5)</f>
        <v/>
      </c>
      <c r="B53" s="11" t="n"/>
      <c r="C53" s="11" t="n"/>
      <c r="D53" s="11" t="n"/>
      <c r="E53" s="11" t="n"/>
      <c r="F53" s="11" t="n"/>
      <c r="G53" s="12" t="n"/>
      <c r="H53" s="11" t="n"/>
      <c r="I53" s="11" t="n"/>
      <c r="J53" s="12" t="n"/>
      <c r="K53" s="11" t="n"/>
    </row>
    <row r="54">
      <c r="A54" s="10">
        <f>IF(B54="","",ROW()-5)</f>
        <v/>
      </c>
      <c r="B54" s="11" t="n"/>
      <c r="C54" s="11" t="n"/>
      <c r="D54" s="11" t="n"/>
      <c r="E54" s="11" t="n"/>
      <c r="F54" s="11" t="n"/>
      <c r="G54" s="12" t="n"/>
      <c r="H54" s="11" t="n"/>
      <c r="I54" s="11" t="n"/>
      <c r="J54" s="12" t="n"/>
      <c r="K54" s="11" t="n"/>
    </row>
    <row r="55">
      <c r="A55" s="10">
        <f>IF(B55="","",ROW()-5)</f>
        <v/>
      </c>
      <c r="B55" s="11" t="n"/>
      <c r="C55" s="11" t="n"/>
      <c r="D55" s="11" t="n"/>
      <c r="E55" s="11" t="n"/>
      <c r="F55" s="11" t="n"/>
      <c r="G55" s="12" t="n"/>
      <c r="H55" s="11" t="n"/>
      <c r="I55" s="11" t="n"/>
      <c r="J55" s="12" t="n"/>
      <c r="K55" s="11" t="n"/>
    </row>
    <row r="56">
      <c r="A56" s="10">
        <f>IF(B56="","",ROW()-5)</f>
        <v/>
      </c>
      <c r="B56" s="11" t="n"/>
      <c r="C56" s="11" t="n"/>
      <c r="D56" s="11" t="n"/>
      <c r="E56" s="11" t="n"/>
      <c r="F56" s="11" t="n"/>
      <c r="G56" s="12" t="n"/>
      <c r="H56" s="11" t="n"/>
      <c r="I56" s="11" t="n"/>
      <c r="J56" s="12" t="n"/>
      <c r="K56" s="11" t="n"/>
    </row>
    <row r="57">
      <c r="A57" s="10">
        <f>IF(B57="","",ROW()-5)</f>
        <v/>
      </c>
      <c r="B57" s="11" t="n"/>
      <c r="C57" s="11" t="n"/>
      <c r="D57" s="11" t="n"/>
      <c r="E57" s="11" t="n"/>
      <c r="F57" s="11" t="n"/>
      <c r="G57" s="12" t="n"/>
      <c r="H57" s="11" t="n"/>
      <c r="I57" s="11" t="n"/>
      <c r="J57" s="12" t="n"/>
      <c r="K57" s="11" t="n"/>
    </row>
    <row r="58">
      <c r="A58" s="10">
        <f>IF(B58="","",ROW()-5)</f>
        <v/>
      </c>
      <c r="B58" s="11" t="n"/>
      <c r="C58" s="11" t="n"/>
      <c r="D58" s="11" t="n"/>
      <c r="E58" s="11" t="n"/>
      <c r="F58" s="11" t="n"/>
      <c r="G58" s="12" t="n"/>
      <c r="H58" s="11" t="n"/>
      <c r="I58" s="11" t="n"/>
      <c r="J58" s="12" t="n"/>
      <c r="K58" s="11" t="n"/>
    </row>
    <row r="59">
      <c r="A59" s="10">
        <f>IF(B59="","",ROW()-5)</f>
        <v/>
      </c>
      <c r="B59" s="11" t="n"/>
      <c r="C59" s="11" t="n"/>
      <c r="D59" s="11" t="n"/>
      <c r="E59" s="11" t="n"/>
      <c r="F59" s="11" t="n"/>
      <c r="G59" s="12" t="n"/>
      <c r="H59" s="11" t="n"/>
      <c r="I59" s="11" t="n"/>
      <c r="J59" s="12" t="n"/>
      <c r="K59" s="11" t="n"/>
    </row>
    <row r="60">
      <c r="A60" s="10">
        <f>IF(B60="","",ROW()-5)</f>
        <v/>
      </c>
      <c r="B60" s="11" t="n"/>
      <c r="C60" s="11" t="n"/>
      <c r="D60" s="11" t="n"/>
      <c r="E60" s="11" t="n"/>
      <c r="F60" s="11" t="n"/>
      <c r="G60" s="12" t="n"/>
      <c r="H60" s="11" t="n"/>
      <c r="I60" s="11" t="n"/>
      <c r="J60" s="12" t="n"/>
      <c r="K60" s="11" t="n"/>
    </row>
    <row r="61">
      <c r="A61" s="10">
        <f>IF(B61="","",ROW()-5)</f>
        <v/>
      </c>
      <c r="B61" s="11" t="n"/>
      <c r="C61" s="11" t="n"/>
      <c r="D61" s="11" t="n"/>
      <c r="E61" s="11" t="n"/>
      <c r="F61" s="11" t="n"/>
      <c r="G61" s="12" t="n"/>
      <c r="H61" s="11" t="n"/>
      <c r="I61" s="11" t="n"/>
      <c r="J61" s="12" t="n"/>
      <c r="K61" s="11" t="n"/>
    </row>
    <row r="62">
      <c r="A62" s="10">
        <f>IF(B62="","",ROW()-5)</f>
        <v/>
      </c>
      <c r="B62" s="11" t="n"/>
      <c r="C62" s="11" t="n"/>
      <c r="D62" s="11" t="n"/>
      <c r="E62" s="11" t="n"/>
      <c r="F62" s="11" t="n"/>
      <c r="G62" s="12" t="n"/>
      <c r="H62" s="11" t="n"/>
      <c r="I62" s="11" t="n"/>
      <c r="J62" s="12" t="n"/>
      <c r="K62" s="11" t="n"/>
    </row>
    <row r="63">
      <c r="A63" s="10">
        <f>IF(B63="","",ROW()-5)</f>
        <v/>
      </c>
      <c r="B63" s="11" t="n"/>
      <c r="C63" s="11" t="n"/>
      <c r="D63" s="11" t="n"/>
      <c r="E63" s="11" t="n"/>
      <c r="F63" s="11" t="n"/>
      <c r="G63" s="12" t="n"/>
      <c r="H63" s="11" t="n"/>
      <c r="I63" s="11" t="n"/>
      <c r="J63" s="12" t="n"/>
      <c r="K63" s="11" t="n"/>
    </row>
    <row r="64">
      <c r="A64" s="10">
        <f>IF(B64="","",ROW()-5)</f>
        <v/>
      </c>
      <c r="B64" s="11" t="n"/>
      <c r="C64" s="11" t="n"/>
      <c r="D64" s="11" t="n"/>
      <c r="E64" s="11" t="n"/>
      <c r="F64" s="11" t="n"/>
      <c r="G64" s="12" t="n"/>
      <c r="H64" s="11" t="n"/>
      <c r="I64" s="11" t="n"/>
      <c r="J64" s="12" t="n"/>
      <c r="K64" s="11" t="n"/>
    </row>
    <row r="65">
      <c r="A65" s="10">
        <f>IF(B65="","",ROW()-5)</f>
        <v/>
      </c>
      <c r="B65" s="11" t="n"/>
      <c r="C65" s="11" t="n"/>
      <c r="D65" s="11" t="n"/>
      <c r="E65" s="11" t="n"/>
      <c r="F65" s="11" t="n"/>
      <c r="G65" s="12" t="n"/>
      <c r="H65" s="11" t="n"/>
      <c r="I65" s="11" t="n"/>
      <c r="J65" s="12" t="n"/>
      <c r="K65" s="11" t="n"/>
    </row>
    <row r="66">
      <c r="A66" s="10">
        <f>IF(B66="","",ROW()-5)</f>
        <v/>
      </c>
      <c r="B66" s="11" t="n"/>
      <c r="C66" s="11" t="n"/>
      <c r="D66" s="11" t="n"/>
      <c r="E66" s="11" t="n"/>
      <c r="F66" s="11" t="n"/>
      <c r="G66" s="12" t="n"/>
      <c r="H66" s="11" t="n"/>
      <c r="I66" s="11" t="n"/>
      <c r="J66" s="12" t="n"/>
      <c r="K66" s="11" t="n"/>
    </row>
    <row r="67">
      <c r="A67" s="10">
        <f>IF(B67="","",ROW()-5)</f>
        <v/>
      </c>
      <c r="B67" s="11" t="n"/>
      <c r="C67" s="11" t="n"/>
      <c r="D67" s="11" t="n"/>
      <c r="E67" s="11" t="n"/>
      <c r="F67" s="11" t="n"/>
      <c r="G67" s="12" t="n"/>
      <c r="H67" s="11" t="n"/>
      <c r="I67" s="11" t="n"/>
      <c r="J67" s="12" t="n"/>
      <c r="K67" s="11" t="n"/>
    </row>
    <row r="68">
      <c r="A68" s="10">
        <f>IF(B68="","",ROW()-5)</f>
        <v/>
      </c>
      <c r="B68" s="11" t="n"/>
      <c r="C68" s="11" t="n"/>
      <c r="D68" s="11" t="n"/>
      <c r="E68" s="11" t="n"/>
      <c r="F68" s="11" t="n"/>
      <c r="G68" s="12" t="n"/>
      <c r="H68" s="11" t="n"/>
      <c r="I68" s="11" t="n"/>
      <c r="J68" s="12" t="n"/>
      <c r="K68" s="11" t="n"/>
    </row>
    <row r="69">
      <c r="A69" s="10">
        <f>IF(B69="","",ROW()-5)</f>
        <v/>
      </c>
      <c r="B69" s="11" t="n"/>
      <c r="C69" s="11" t="n"/>
      <c r="D69" s="11" t="n"/>
      <c r="E69" s="11" t="n"/>
      <c r="F69" s="11" t="n"/>
      <c r="G69" s="12" t="n"/>
      <c r="H69" s="11" t="n"/>
      <c r="I69" s="11" t="n"/>
      <c r="J69" s="12" t="n"/>
      <c r="K69" s="11" t="n"/>
    </row>
    <row r="70">
      <c r="A70" s="10">
        <f>IF(B70="","",ROW()-5)</f>
        <v/>
      </c>
      <c r="B70" s="11" t="n"/>
      <c r="C70" s="11" t="n"/>
      <c r="D70" s="11" t="n"/>
      <c r="E70" s="11" t="n"/>
      <c r="F70" s="11" t="n"/>
      <c r="G70" s="12" t="n"/>
      <c r="H70" s="11" t="n"/>
      <c r="I70" s="11" t="n"/>
      <c r="J70" s="12" t="n"/>
      <c r="K70" s="11" t="n"/>
    </row>
    <row r="71">
      <c r="A71" s="10">
        <f>IF(B71="","",ROW()-5)</f>
        <v/>
      </c>
      <c r="B71" s="11" t="n"/>
      <c r="C71" s="11" t="n"/>
      <c r="D71" s="11" t="n"/>
      <c r="E71" s="11" t="n"/>
      <c r="F71" s="11" t="n"/>
      <c r="G71" s="12" t="n"/>
      <c r="H71" s="11" t="n"/>
      <c r="I71" s="11" t="n"/>
      <c r="J71" s="12" t="n"/>
      <c r="K71" s="11" t="n"/>
    </row>
    <row r="72">
      <c r="A72" s="10">
        <f>IF(B72="","",ROW()-5)</f>
        <v/>
      </c>
      <c r="B72" s="11" t="n"/>
      <c r="C72" s="11" t="n"/>
      <c r="D72" s="11" t="n"/>
      <c r="E72" s="11" t="n"/>
      <c r="F72" s="11" t="n"/>
      <c r="G72" s="12" t="n"/>
      <c r="H72" s="11" t="n"/>
      <c r="I72" s="11" t="n"/>
      <c r="J72" s="12" t="n"/>
      <c r="K72" s="11" t="n"/>
    </row>
    <row r="73">
      <c r="A73" s="10">
        <f>IF(B73="","",ROW()-5)</f>
        <v/>
      </c>
      <c r="B73" s="11" t="n"/>
      <c r="C73" s="11" t="n"/>
      <c r="D73" s="11" t="n"/>
      <c r="E73" s="11" t="n"/>
      <c r="F73" s="11" t="n"/>
      <c r="G73" s="12" t="n"/>
      <c r="H73" s="11" t="n"/>
      <c r="I73" s="11" t="n"/>
      <c r="J73" s="12" t="n"/>
      <c r="K73" s="11" t="n"/>
    </row>
    <row r="74">
      <c r="A74" s="10">
        <f>IF(B74="","",ROW()-5)</f>
        <v/>
      </c>
      <c r="B74" s="11" t="n"/>
      <c r="C74" s="11" t="n"/>
      <c r="D74" s="11" t="n"/>
      <c r="E74" s="11" t="n"/>
      <c r="F74" s="11" t="n"/>
      <c r="G74" s="12" t="n"/>
      <c r="H74" s="11" t="n"/>
      <c r="I74" s="11" t="n"/>
      <c r="J74" s="12" t="n"/>
      <c r="K74" s="11" t="n"/>
    </row>
    <row r="75">
      <c r="A75" s="10">
        <f>IF(B75="","",ROW()-5)</f>
        <v/>
      </c>
      <c r="B75" s="11" t="n"/>
      <c r="C75" s="11" t="n"/>
      <c r="D75" s="11" t="n"/>
      <c r="E75" s="11" t="n"/>
      <c r="F75" s="11" t="n"/>
      <c r="G75" s="12" t="n"/>
      <c r="H75" s="11" t="n"/>
      <c r="I75" s="11" t="n"/>
      <c r="J75" s="12" t="n"/>
      <c r="K75" s="11" t="n"/>
    </row>
    <row r="76">
      <c r="A76" s="10">
        <f>IF(B76="","",ROW()-5)</f>
        <v/>
      </c>
      <c r="B76" s="11" t="n"/>
      <c r="C76" s="11" t="n"/>
      <c r="D76" s="11" t="n"/>
      <c r="E76" s="11" t="n"/>
      <c r="F76" s="11" t="n"/>
      <c r="G76" s="12" t="n"/>
      <c r="H76" s="11" t="n"/>
      <c r="I76" s="11" t="n"/>
      <c r="J76" s="12" t="n"/>
      <c r="K76" s="11" t="n"/>
    </row>
    <row r="77">
      <c r="A77" s="10">
        <f>IF(B77="","",ROW()-5)</f>
        <v/>
      </c>
      <c r="B77" s="11" t="n"/>
      <c r="C77" s="11" t="n"/>
      <c r="D77" s="11" t="n"/>
      <c r="E77" s="11" t="n"/>
      <c r="F77" s="11" t="n"/>
      <c r="G77" s="12" t="n"/>
      <c r="H77" s="11" t="n"/>
      <c r="I77" s="11" t="n"/>
      <c r="J77" s="12" t="n"/>
      <c r="K77" s="11" t="n"/>
    </row>
    <row r="78">
      <c r="A78" s="10">
        <f>IF(B78="","",ROW()-5)</f>
        <v/>
      </c>
      <c r="B78" s="11" t="n"/>
      <c r="C78" s="11" t="n"/>
      <c r="D78" s="11" t="n"/>
      <c r="E78" s="11" t="n"/>
      <c r="F78" s="11" t="n"/>
      <c r="G78" s="12" t="n"/>
      <c r="H78" s="11" t="n"/>
      <c r="I78" s="11" t="n"/>
      <c r="J78" s="12" t="n"/>
      <c r="K78" s="11" t="n"/>
    </row>
    <row r="79">
      <c r="A79" s="10">
        <f>IF(B79="","",ROW()-5)</f>
        <v/>
      </c>
      <c r="B79" s="11" t="n"/>
      <c r="C79" s="11" t="n"/>
      <c r="D79" s="11" t="n"/>
      <c r="E79" s="11" t="n"/>
      <c r="F79" s="11" t="n"/>
      <c r="G79" s="12" t="n"/>
      <c r="H79" s="11" t="n"/>
      <c r="I79" s="11" t="n"/>
      <c r="J79" s="12" t="n"/>
      <c r="K79" s="11" t="n"/>
    </row>
    <row r="80">
      <c r="A80" s="10">
        <f>IF(B80="","",ROW()-5)</f>
        <v/>
      </c>
      <c r="B80" s="11" t="n"/>
      <c r="C80" s="11" t="n"/>
      <c r="D80" s="11" t="n"/>
      <c r="E80" s="11" t="n"/>
      <c r="F80" s="11" t="n"/>
      <c r="G80" s="12" t="n"/>
      <c r="H80" s="11" t="n"/>
      <c r="I80" s="11" t="n"/>
      <c r="J80" s="12" t="n"/>
      <c r="K80" s="11" t="n"/>
    </row>
    <row r="81">
      <c r="A81" s="10">
        <f>IF(B81="","",ROW()-5)</f>
        <v/>
      </c>
      <c r="B81" s="11" t="n"/>
      <c r="C81" s="11" t="n"/>
      <c r="D81" s="11" t="n"/>
      <c r="E81" s="11" t="n"/>
      <c r="F81" s="11" t="n"/>
      <c r="G81" s="12" t="n"/>
      <c r="H81" s="11" t="n"/>
      <c r="I81" s="11" t="n"/>
      <c r="J81" s="12" t="n"/>
      <c r="K81" s="11" t="n"/>
    </row>
    <row r="82">
      <c r="A82" s="10">
        <f>IF(B82="","",ROW()-5)</f>
        <v/>
      </c>
      <c r="B82" s="11" t="n"/>
      <c r="C82" s="11" t="n"/>
      <c r="D82" s="11" t="n"/>
      <c r="E82" s="11" t="n"/>
      <c r="F82" s="11" t="n"/>
      <c r="G82" s="12" t="n"/>
      <c r="H82" s="11" t="n"/>
      <c r="I82" s="11" t="n"/>
      <c r="J82" s="12" t="n"/>
      <c r="K82" s="11" t="n"/>
    </row>
    <row r="83">
      <c r="A83" s="10">
        <f>IF(B83="","",ROW()-5)</f>
        <v/>
      </c>
      <c r="B83" s="11" t="n"/>
      <c r="C83" s="11" t="n"/>
      <c r="D83" s="11" t="n"/>
      <c r="E83" s="11" t="n"/>
      <c r="F83" s="11" t="n"/>
      <c r="G83" s="12" t="n"/>
      <c r="H83" s="11" t="n"/>
      <c r="I83" s="11" t="n"/>
      <c r="J83" s="12" t="n"/>
      <c r="K83" s="11" t="n"/>
    </row>
    <row r="84">
      <c r="A84" s="10">
        <f>IF(B84="","",ROW()-5)</f>
        <v/>
      </c>
      <c r="B84" s="11" t="n"/>
      <c r="C84" s="11" t="n"/>
      <c r="D84" s="11" t="n"/>
      <c r="E84" s="11" t="n"/>
      <c r="F84" s="11" t="n"/>
      <c r="G84" s="12" t="n"/>
      <c r="H84" s="11" t="n"/>
      <c r="I84" s="11" t="n"/>
      <c r="J84" s="12" t="n"/>
      <c r="K84" s="11" t="n"/>
    </row>
    <row r="85">
      <c r="A85" s="10">
        <f>IF(B85="","",ROW()-5)</f>
        <v/>
      </c>
      <c r="B85" s="11" t="n"/>
      <c r="C85" s="11" t="n"/>
      <c r="D85" s="11" t="n"/>
      <c r="E85" s="11" t="n"/>
      <c r="F85" s="11" t="n"/>
      <c r="G85" s="12" t="n"/>
      <c r="H85" s="11" t="n"/>
      <c r="I85" s="11" t="n"/>
      <c r="J85" s="12" t="n"/>
      <c r="K85" s="11" t="n"/>
    </row>
    <row r="86">
      <c r="A86" s="10">
        <f>IF(B86="","",ROW()-5)</f>
        <v/>
      </c>
      <c r="B86" s="11" t="n"/>
      <c r="C86" s="11" t="n"/>
      <c r="D86" s="11" t="n"/>
      <c r="E86" s="11" t="n"/>
      <c r="F86" s="11" t="n"/>
      <c r="G86" s="12" t="n"/>
      <c r="H86" s="11" t="n"/>
      <c r="I86" s="11" t="n"/>
      <c r="J86" s="12" t="n"/>
      <c r="K86" s="11" t="n"/>
    </row>
    <row r="87">
      <c r="A87" s="10">
        <f>IF(B87="","",ROW()-5)</f>
        <v/>
      </c>
      <c r="B87" s="11" t="n"/>
      <c r="C87" s="11" t="n"/>
      <c r="D87" s="11" t="n"/>
      <c r="E87" s="11" t="n"/>
      <c r="F87" s="11" t="n"/>
      <c r="G87" s="12" t="n"/>
      <c r="H87" s="11" t="n"/>
      <c r="I87" s="11" t="n"/>
      <c r="J87" s="12" t="n"/>
      <c r="K87" s="11" t="n"/>
    </row>
    <row r="88">
      <c r="A88" s="10">
        <f>IF(B88="","",ROW()-5)</f>
        <v/>
      </c>
      <c r="B88" s="11" t="n"/>
      <c r="C88" s="11" t="n"/>
      <c r="D88" s="11" t="n"/>
      <c r="E88" s="11" t="n"/>
      <c r="F88" s="11" t="n"/>
      <c r="G88" s="12" t="n"/>
      <c r="H88" s="11" t="n"/>
      <c r="I88" s="11" t="n"/>
      <c r="J88" s="12" t="n"/>
      <c r="K88" s="11" t="n"/>
    </row>
    <row r="89">
      <c r="A89" s="10">
        <f>IF(B89="","",ROW()-5)</f>
        <v/>
      </c>
      <c r="B89" s="11" t="n"/>
      <c r="C89" s="11" t="n"/>
      <c r="D89" s="11" t="n"/>
      <c r="E89" s="11" t="n"/>
      <c r="F89" s="11" t="n"/>
      <c r="G89" s="12" t="n"/>
      <c r="H89" s="11" t="n"/>
      <c r="I89" s="11" t="n"/>
      <c r="J89" s="12" t="n"/>
      <c r="K89" s="11" t="n"/>
    </row>
    <row r="90">
      <c r="A90" s="10">
        <f>IF(B90="","",ROW()-5)</f>
        <v/>
      </c>
      <c r="B90" s="11" t="n"/>
      <c r="C90" s="11" t="n"/>
      <c r="D90" s="11" t="n"/>
      <c r="E90" s="11" t="n"/>
      <c r="F90" s="11" t="n"/>
      <c r="G90" s="12" t="n"/>
      <c r="H90" s="11" t="n"/>
      <c r="I90" s="11" t="n"/>
      <c r="J90" s="12" t="n"/>
      <c r="K90" s="11" t="n"/>
    </row>
    <row r="91">
      <c r="A91" s="10">
        <f>IF(B91="","",ROW()-5)</f>
        <v/>
      </c>
      <c r="B91" s="11" t="n"/>
      <c r="C91" s="11" t="n"/>
      <c r="D91" s="11" t="n"/>
      <c r="E91" s="11" t="n"/>
      <c r="F91" s="11" t="n"/>
      <c r="G91" s="12" t="n"/>
      <c r="H91" s="11" t="n"/>
      <c r="I91" s="11" t="n"/>
      <c r="J91" s="12" t="n"/>
      <c r="K91" s="11" t="n"/>
    </row>
    <row r="92">
      <c r="A92" s="10">
        <f>IF(B92="","",ROW()-5)</f>
        <v/>
      </c>
      <c r="B92" s="11" t="n"/>
      <c r="C92" s="11" t="n"/>
      <c r="D92" s="11" t="n"/>
      <c r="E92" s="11" t="n"/>
      <c r="F92" s="11" t="n"/>
      <c r="G92" s="12" t="n"/>
      <c r="H92" s="11" t="n"/>
      <c r="I92" s="11" t="n"/>
      <c r="J92" s="12" t="n"/>
      <c r="K92" s="11" t="n"/>
    </row>
    <row r="93">
      <c r="A93" s="10">
        <f>IF(B93="","",ROW()-5)</f>
        <v/>
      </c>
      <c r="B93" s="11" t="n"/>
      <c r="C93" s="11" t="n"/>
      <c r="D93" s="11" t="n"/>
      <c r="E93" s="11" t="n"/>
      <c r="F93" s="11" t="n"/>
      <c r="G93" s="12" t="n"/>
      <c r="H93" s="11" t="n"/>
      <c r="I93" s="11" t="n"/>
      <c r="J93" s="12" t="n"/>
      <c r="K93" s="11" t="n"/>
    </row>
    <row r="94">
      <c r="A94" s="10">
        <f>IF(B94="","",ROW()-5)</f>
        <v/>
      </c>
      <c r="B94" s="11" t="n"/>
      <c r="C94" s="11" t="n"/>
      <c r="D94" s="11" t="n"/>
      <c r="E94" s="11" t="n"/>
      <c r="F94" s="11" t="n"/>
      <c r="G94" s="12" t="n"/>
      <c r="H94" s="11" t="n"/>
      <c r="I94" s="11" t="n"/>
      <c r="J94" s="12" t="n"/>
      <c r="K94" s="11" t="n"/>
    </row>
    <row r="95">
      <c r="A95" s="10">
        <f>IF(B95="","",ROW()-5)</f>
        <v/>
      </c>
      <c r="B95" s="11" t="n"/>
      <c r="C95" s="11" t="n"/>
      <c r="D95" s="11" t="n"/>
      <c r="E95" s="11" t="n"/>
      <c r="F95" s="11" t="n"/>
      <c r="G95" s="12" t="n"/>
      <c r="H95" s="11" t="n"/>
      <c r="I95" s="11" t="n"/>
      <c r="J95" s="12" t="n"/>
      <c r="K95" s="11" t="n"/>
    </row>
    <row r="96">
      <c r="A96" s="10">
        <f>IF(B96="","",ROW()-5)</f>
        <v/>
      </c>
      <c r="B96" s="11" t="n"/>
      <c r="C96" s="11" t="n"/>
      <c r="D96" s="11" t="n"/>
      <c r="E96" s="11" t="n"/>
      <c r="F96" s="11" t="n"/>
      <c r="G96" s="12" t="n"/>
      <c r="H96" s="11" t="n"/>
      <c r="I96" s="11" t="n"/>
      <c r="J96" s="12" t="n"/>
      <c r="K96" s="11" t="n"/>
    </row>
    <row r="97">
      <c r="A97" s="10">
        <f>IF(B97="","",ROW()-5)</f>
        <v/>
      </c>
      <c r="B97" s="11" t="n"/>
      <c r="C97" s="11" t="n"/>
      <c r="D97" s="11" t="n"/>
      <c r="E97" s="11" t="n"/>
      <c r="F97" s="11" t="n"/>
      <c r="G97" s="12" t="n"/>
      <c r="H97" s="11" t="n"/>
      <c r="I97" s="11" t="n"/>
      <c r="J97" s="12" t="n"/>
      <c r="K97" s="11" t="n"/>
    </row>
    <row r="98">
      <c r="A98" s="10">
        <f>IF(B98="","",ROW()-5)</f>
        <v/>
      </c>
      <c r="B98" s="11" t="n"/>
      <c r="C98" s="11" t="n"/>
      <c r="D98" s="11" t="n"/>
      <c r="E98" s="11" t="n"/>
      <c r="F98" s="11" t="n"/>
      <c r="G98" s="12" t="n"/>
      <c r="H98" s="11" t="n"/>
      <c r="I98" s="11" t="n"/>
      <c r="J98" s="12" t="n"/>
      <c r="K98" s="11" t="n"/>
    </row>
    <row r="99">
      <c r="A99" s="10">
        <f>IF(B99="","",ROW()-5)</f>
        <v/>
      </c>
      <c r="B99" s="11" t="n"/>
      <c r="C99" s="11" t="n"/>
      <c r="D99" s="11" t="n"/>
      <c r="E99" s="11" t="n"/>
      <c r="F99" s="11" t="n"/>
      <c r="G99" s="12" t="n"/>
      <c r="H99" s="11" t="n"/>
      <c r="I99" s="11" t="n"/>
      <c r="J99" s="12" t="n"/>
      <c r="K99" s="11" t="n"/>
    </row>
    <row r="100">
      <c r="A100" s="10">
        <f>IF(B100="","",ROW()-5)</f>
        <v/>
      </c>
      <c r="B100" s="11" t="n"/>
      <c r="C100" s="11" t="n"/>
      <c r="D100" s="11" t="n"/>
      <c r="E100" s="11" t="n"/>
      <c r="F100" s="11" t="n"/>
      <c r="G100" s="12" t="n"/>
      <c r="H100" s="11" t="n"/>
      <c r="I100" s="11" t="n"/>
      <c r="J100" s="12" t="n"/>
      <c r="K100" s="11" t="n"/>
    </row>
    <row r="101">
      <c r="A101" s="10">
        <f>IF(B101="","",ROW()-5)</f>
        <v/>
      </c>
      <c r="B101" s="11" t="n"/>
      <c r="C101" s="11" t="n"/>
      <c r="D101" s="11" t="n"/>
      <c r="E101" s="11" t="n"/>
      <c r="F101" s="11" t="n"/>
      <c r="G101" s="12" t="n"/>
      <c r="H101" s="11" t="n"/>
      <c r="I101" s="11" t="n"/>
      <c r="J101" s="12" t="n"/>
      <c r="K101" s="11" t="n"/>
    </row>
    <row r="102">
      <c r="A102" s="10">
        <f>IF(B102="","",ROW()-5)</f>
        <v/>
      </c>
      <c r="B102" s="11" t="n"/>
      <c r="C102" s="11" t="n"/>
      <c r="D102" s="11" t="n"/>
      <c r="E102" s="11" t="n"/>
      <c r="F102" s="11" t="n"/>
      <c r="G102" s="12" t="n"/>
      <c r="H102" s="11" t="n"/>
      <c r="I102" s="11" t="n"/>
      <c r="J102" s="12" t="n"/>
      <c r="K102" s="11" t="n"/>
    </row>
    <row r="103">
      <c r="A103" s="10">
        <f>IF(B103="","",ROW()-5)</f>
        <v/>
      </c>
      <c r="B103" s="11" t="n"/>
      <c r="C103" s="11" t="n"/>
      <c r="D103" s="11" t="n"/>
      <c r="E103" s="11" t="n"/>
      <c r="F103" s="11" t="n"/>
      <c r="G103" s="12" t="n"/>
      <c r="H103" s="11" t="n"/>
      <c r="I103" s="11" t="n"/>
      <c r="J103" s="12" t="n"/>
      <c r="K103" s="11" t="n"/>
    </row>
    <row r="104">
      <c r="A104" s="10">
        <f>IF(B104="","",ROW()-5)</f>
        <v/>
      </c>
      <c r="B104" s="11" t="n"/>
      <c r="C104" s="11" t="n"/>
      <c r="D104" s="11" t="n"/>
      <c r="E104" s="11" t="n"/>
      <c r="F104" s="11" t="n"/>
      <c r="G104" s="12" t="n"/>
      <c r="H104" s="11" t="n"/>
      <c r="I104" s="11" t="n"/>
      <c r="J104" s="12" t="n"/>
      <c r="K104" s="11" t="n"/>
    </row>
    <row r="105">
      <c r="A105" s="10">
        <f>IF(B105="","",ROW()-5)</f>
        <v/>
      </c>
      <c r="B105" s="11" t="n"/>
      <c r="C105" s="11" t="n"/>
      <c r="D105" s="11" t="n"/>
      <c r="E105" s="11" t="n"/>
      <c r="F105" s="11" t="n"/>
      <c r="G105" s="12" t="n"/>
      <c r="H105" s="11" t="n"/>
      <c r="I105" s="11" t="n"/>
      <c r="J105" s="12" t="n"/>
      <c r="K105" s="11" t="n"/>
    </row>
    <row r="106">
      <c r="A106" s="10">
        <f>IF(B106="","",ROW()-5)</f>
        <v/>
      </c>
      <c r="B106" s="11" t="n"/>
      <c r="C106" s="11" t="n"/>
      <c r="D106" s="11" t="n"/>
      <c r="E106" s="11" t="n"/>
      <c r="F106" s="11" t="n"/>
      <c r="G106" s="12" t="n"/>
      <c r="H106" s="11" t="n"/>
      <c r="I106" s="11" t="n"/>
      <c r="J106" s="12" t="n"/>
      <c r="K106" s="11" t="n"/>
    </row>
    <row r="107">
      <c r="A107" s="10">
        <f>IF(B107="","",ROW()-5)</f>
        <v/>
      </c>
      <c r="B107" s="11" t="n"/>
      <c r="C107" s="11" t="n"/>
      <c r="D107" s="11" t="n"/>
      <c r="E107" s="11" t="n"/>
      <c r="F107" s="11" t="n"/>
      <c r="G107" s="12" t="n"/>
      <c r="H107" s="11" t="n"/>
      <c r="I107" s="11" t="n"/>
      <c r="J107" s="12" t="n"/>
      <c r="K107" s="11" t="n"/>
    </row>
    <row r="108">
      <c r="A108" s="10">
        <f>IF(B108="","",ROW()-5)</f>
        <v/>
      </c>
      <c r="B108" s="11" t="n"/>
      <c r="C108" s="11" t="n"/>
      <c r="D108" s="11" t="n"/>
      <c r="E108" s="11" t="n"/>
      <c r="F108" s="11" t="n"/>
      <c r="G108" s="12" t="n"/>
      <c r="H108" s="11" t="n"/>
      <c r="I108" s="11" t="n"/>
      <c r="J108" s="12" t="n"/>
      <c r="K108" s="11" t="n"/>
    </row>
    <row r="109">
      <c r="A109" s="10">
        <f>IF(B109="","",ROW()-5)</f>
        <v/>
      </c>
      <c r="B109" s="11" t="n"/>
      <c r="C109" s="11" t="n"/>
      <c r="D109" s="11" t="n"/>
      <c r="E109" s="11" t="n"/>
      <c r="F109" s="11" t="n"/>
      <c r="G109" s="12" t="n"/>
      <c r="H109" s="11" t="n"/>
      <c r="I109" s="11" t="n"/>
      <c r="J109" s="12" t="n"/>
      <c r="K109" s="11" t="n"/>
    </row>
    <row r="110">
      <c r="A110" s="10">
        <f>IF(B110="","",ROW()-5)</f>
        <v/>
      </c>
      <c r="B110" s="11" t="n"/>
      <c r="C110" s="11" t="n"/>
      <c r="D110" s="11" t="n"/>
      <c r="E110" s="11" t="n"/>
      <c r="F110" s="11" t="n"/>
      <c r="G110" s="12" t="n"/>
      <c r="H110" s="11" t="n"/>
      <c r="I110" s="11" t="n"/>
      <c r="J110" s="12" t="n"/>
      <c r="K110" s="11" t="n"/>
    </row>
    <row r="111">
      <c r="A111" s="10">
        <f>IF(B111="","",ROW()-5)</f>
        <v/>
      </c>
      <c r="B111" s="11" t="n"/>
      <c r="C111" s="11" t="n"/>
      <c r="D111" s="11" t="n"/>
      <c r="E111" s="11" t="n"/>
      <c r="F111" s="11" t="n"/>
      <c r="G111" s="12" t="n"/>
      <c r="H111" s="11" t="n"/>
      <c r="I111" s="11" t="n"/>
      <c r="J111" s="12" t="n"/>
      <c r="K111" s="11" t="n"/>
    </row>
    <row r="112">
      <c r="A112" s="10">
        <f>IF(B112="","",ROW()-5)</f>
        <v/>
      </c>
      <c r="B112" s="11" t="n"/>
      <c r="C112" s="11" t="n"/>
      <c r="D112" s="11" t="n"/>
      <c r="E112" s="11" t="n"/>
      <c r="F112" s="11" t="n"/>
      <c r="G112" s="12" t="n"/>
      <c r="H112" s="11" t="n"/>
      <c r="I112" s="11" t="n"/>
      <c r="J112" s="12" t="n"/>
      <c r="K112" s="11" t="n"/>
    </row>
    <row r="113">
      <c r="A113" s="10">
        <f>IF(B113="","",ROW()-5)</f>
        <v/>
      </c>
      <c r="B113" s="11" t="n"/>
      <c r="C113" s="11" t="n"/>
      <c r="D113" s="11" t="n"/>
      <c r="E113" s="11" t="n"/>
      <c r="F113" s="11" t="n"/>
      <c r="G113" s="12" t="n"/>
      <c r="H113" s="11" t="n"/>
      <c r="I113" s="11" t="n"/>
      <c r="J113" s="12" t="n"/>
      <c r="K113" s="11" t="n"/>
    </row>
    <row r="114">
      <c r="A114" s="10">
        <f>IF(B114="","",ROW()-5)</f>
        <v/>
      </c>
      <c r="B114" s="11" t="n"/>
      <c r="C114" s="11" t="n"/>
      <c r="D114" s="11" t="n"/>
      <c r="E114" s="11" t="n"/>
      <c r="F114" s="11" t="n"/>
      <c r="G114" s="12" t="n"/>
      <c r="H114" s="11" t="n"/>
      <c r="I114" s="11" t="n"/>
      <c r="J114" s="12" t="n"/>
      <c r="K114" s="11" t="n"/>
    </row>
    <row r="115">
      <c r="A115" s="10">
        <f>IF(B115="","",ROW()-5)</f>
        <v/>
      </c>
      <c r="B115" s="11" t="n"/>
      <c r="C115" s="11" t="n"/>
      <c r="D115" s="11" t="n"/>
      <c r="E115" s="11" t="n"/>
      <c r="F115" s="11" t="n"/>
      <c r="G115" s="12" t="n"/>
      <c r="H115" s="11" t="n"/>
      <c r="I115" s="11" t="n"/>
      <c r="J115" s="12" t="n"/>
      <c r="K115" s="11" t="n"/>
    </row>
    <row r="116">
      <c r="A116" s="10">
        <f>IF(B116="","",ROW()-5)</f>
        <v/>
      </c>
      <c r="B116" s="11" t="n"/>
      <c r="C116" s="11" t="n"/>
      <c r="D116" s="11" t="n"/>
      <c r="E116" s="11" t="n"/>
      <c r="F116" s="11" t="n"/>
      <c r="G116" s="12" t="n"/>
      <c r="H116" s="11" t="n"/>
      <c r="I116" s="11" t="n"/>
      <c r="J116" s="12" t="n"/>
      <c r="K116" s="11" t="n"/>
    </row>
    <row r="117">
      <c r="A117" s="10">
        <f>IF(B117="","",ROW()-5)</f>
        <v/>
      </c>
      <c r="B117" s="11" t="n"/>
      <c r="C117" s="11" t="n"/>
      <c r="D117" s="11" t="n"/>
      <c r="E117" s="11" t="n"/>
      <c r="F117" s="11" t="n"/>
      <c r="G117" s="12" t="n"/>
      <c r="H117" s="11" t="n"/>
      <c r="I117" s="11" t="n"/>
      <c r="J117" s="12" t="n"/>
      <c r="K117" s="11" t="n"/>
    </row>
    <row r="118">
      <c r="A118" s="10">
        <f>IF(B118="","",ROW()-5)</f>
        <v/>
      </c>
      <c r="B118" s="11" t="n"/>
      <c r="C118" s="11" t="n"/>
      <c r="D118" s="11" t="n"/>
      <c r="E118" s="11" t="n"/>
      <c r="F118" s="11" t="n"/>
      <c r="G118" s="12" t="n"/>
      <c r="H118" s="11" t="n"/>
      <c r="I118" s="11" t="n"/>
      <c r="J118" s="12" t="n"/>
      <c r="K118" s="11" t="n"/>
    </row>
    <row r="119">
      <c r="A119" s="10">
        <f>IF(B119="","",ROW()-5)</f>
        <v/>
      </c>
      <c r="B119" s="11" t="n"/>
      <c r="C119" s="11" t="n"/>
      <c r="D119" s="11" t="n"/>
      <c r="E119" s="11" t="n"/>
      <c r="F119" s="11" t="n"/>
      <c r="G119" s="12" t="n"/>
      <c r="H119" s="11" t="n"/>
      <c r="I119" s="11" t="n"/>
      <c r="J119" s="12" t="n"/>
      <c r="K119" s="11" t="n"/>
    </row>
    <row r="120">
      <c r="A120" s="10">
        <f>IF(B120="","",ROW()-5)</f>
        <v/>
      </c>
      <c r="B120" s="11" t="n"/>
      <c r="C120" s="11" t="n"/>
      <c r="D120" s="11" t="n"/>
      <c r="E120" s="11" t="n"/>
      <c r="F120" s="11" t="n"/>
      <c r="G120" s="12" t="n"/>
      <c r="H120" s="11" t="n"/>
      <c r="I120" s="11" t="n"/>
      <c r="J120" s="12" t="n"/>
      <c r="K120" s="11" t="n"/>
    </row>
    <row r="121">
      <c r="A121" s="10">
        <f>IF(B121="","",ROW()-5)</f>
        <v/>
      </c>
      <c r="B121" s="11" t="n"/>
      <c r="C121" s="11" t="n"/>
      <c r="D121" s="11" t="n"/>
      <c r="E121" s="11" t="n"/>
      <c r="F121" s="11" t="n"/>
      <c r="G121" s="12" t="n"/>
      <c r="H121" s="11" t="n"/>
      <c r="I121" s="11" t="n"/>
      <c r="J121" s="12" t="n"/>
      <c r="K121" s="11" t="n"/>
    </row>
    <row r="122">
      <c r="A122" s="10">
        <f>IF(B122="","",ROW()-5)</f>
        <v/>
      </c>
      <c r="B122" s="11" t="n"/>
      <c r="C122" s="11" t="n"/>
      <c r="D122" s="11" t="n"/>
      <c r="E122" s="11" t="n"/>
      <c r="F122" s="11" t="n"/>
      <c r="G122" s="12" t="n"/>
      <c r="H122" s="11" t="n"/>
      <c r="I122" s="11" t="n"/>
      <c r="J122" s="12" t="n"/>
      <c r="K122" s="11" t="n"/>
    </row>
    <row r="123">
      <c r="A123" s="10">
        <f>IF(B123="","",ROW()-5)</f>
        <v/>
      </c>
      <c r="B123" s="11" t="n"/>
      <c r="C123" s="11" t="n"/>
      <c r="D123" s="11" t="n"/>
      <c r="E123" s="11" t="n"/>
      <c r="F123" s="11" t="n"/>
      <c r="G123" s="12" t="n"/>
      <c r="H123" s="11" t="n"/>
      <c r="I123" s="11" t="n"/>
      <c r="J123" s="12" t="n"/>
      <c r="K123" s="11" t="n"/>
    </row>
    <row r="124">
      <c r="A124" s="10">
        <f>IF(B124="","",ROW()-5)</f>
        <v/>
      </c>
      <c r="B124" s="11" t="n"/>
      <c r="C124" s="11" t="n"/>
      <c r="D124" s="11" t="n"/>
      <c r="E124" s="11" t="n"/>
      <c r="F124" s="11" t="n"/>
      <c r="G124" s="12" t="n"/>
      <c r="H124" s="11" t="n"/>
      <c r="I124" s="11" t="n"/>
      <c r="J124" s="12" t="n"/>
      <c r="K124" s="11" t="n"/>
    </row>
    <row r="125">
      <c r="A125" s="10">
        <f>IF(B125="","",ROW()-5)</f>
        <v/>
      </c>
      <c r="B125" s="11" t="n"/>
      <c r="C125" s="11" t="n"/>
      <c r="D125" s="11" t="n"/>
      <c r="E125" s="11" t="n"/>
      <c r="F125" s="11" t="n"/>
      <c r="G125" s="12" t="n"/>
      <c r="H125" s="11" t="n"/>
      <c r="I125" s="11" t="n"/>
      <c r="J125" s="12" t="n"/>
      <c r="K125" s="11" t="n"/>
    </row>
    <row r="126">
      <c r="A126" s="10">
        <f>IF(B126="","",ROW()-5)</f>
        <v/>
      </c>
      <c r="B126" s="11" t="n"/>
      <c r="C126" s="11" t="n"/>
      <c r="D126" s="11" t="n"/>
      <c r="E126" s="11" t="n"/>
      <c r="F126" s="11" t="n"/>
      <c r="G126" s="12" t="n"/>
      <c r="H126" s="11" t="n"/>
      <c r="I126" s="11" t="n"/>
      <c r="J126" s="12" t="n"/>
      <c r="K126" s="11" t="n"/>
    </row>
    <row r="127">
      <c r="A127" s="10">
        <f>IF(B127="","",ROW()-5)</f>
        <v/>
      </c>
      <c r="B127" s="11" t="n"/>
      <c r="C127" s="11" t="n"/>
      <c r="D127" s="11" t="n"/>
      <c r="E127" s="11" t="n"/>
      <c r="F127" s="11" t="n"/>
      <c r="G127" s="12" t="n"/>
      <c r="H127" s="11" t="n"/>
      <c r="I127" s="11" t="n"/>
      <c r="J127" s="12" t="n"/>
      <c r="K127" s="11" t="n"/>
    </row>
    <row r="128">
      <c r="A128" s="10">
        <f>IF(B128="","",ROW()-5)</f>
        <v/>
      </c>
      <c r="B128" s="11" t="n"/>
      <c r="C128" s="11" t="n"/>
      <c r="D128" s="11" t="n"/>
      <c r="E128" s="11" t="n"/>
      <c r="F128" s="11" t="n"/>
      <c r="G128" s="12" t="n"/>
      <c r="H128" s="11" t="n"/>
      <c r="I128" s="11" t="n"/>
      <c r="J128" s="12" t="n"/>
      <c r="K128" s="11" t="n"/>
    </row>
    <row r="129">
      <c r="A129" s="10">
        <f>IF(B129="","",ROW()-5)</f>
        <v/>
      </c>
      <c r="B129" s="11" t="n"/>
      <c r="C129" s="11" t="n"/>
      <c r="D129" s="11" t="n"/>
      <c r="E129" s="11" t="n"/>
      <c r="F129" s="11" t="n"/>
      <c r="G129" s="12" t="n"/>
      <c r="H129" s="11" t="n"/>
      <c r="I129" s="11" t="n"/>
      <c r="J129" s="12" t="n"/>
      <c r="K129" s="11" t="n"/>
    </row>
    <row r="130">
      <c r="A130" s="10">
        <f>IF(B130="","",ROW()-5)</f>
        <v/>
      </c>
      <c r="B130" s="11" t="n"/>
      <c r="C130" s="11" t="n"/>
      <c r="D130" s="11" t="n"/>
      <c r="E130" s="11" t="n"/>
      <c r="F130" s="11" t="n"/>
      <c r="G130" s="12" t="n"/>
      <c r="H130" s="11" t="n"/>
      <c r="I130" s="11" t="n"/>
      <c r="J130" s="12" t="n"/>
      <c r="K130" s="11" t="n"/>
    </row>
    <row r="131">
      <c r="A131" s="10">
        <f>IF(B131="","",ROW()-5)</f>
        <v/>
      </c>
      <c r="B131" s="11" t="n"/>
      <c r="C131" s="11" t="n"/>
      <c r="D131" s="11" t="n"/>
      <c r="E131" s="11" t="n"/>
      <c r="F131" s="11" t="n"/>
      <c r="G131" s="12" t="n"/>
      <c r="H131" s="11" t="n"/>
      <c r="I131" s="11" t="n"/>
      <c r="J131" s="12" t="n"/>
      <c r="K131" s="11" t="n"/>
    </row>
    <row r="132">
      <c r="A132" s="10">
        <f>IF(B132="","",ROW()-5)</f>
        <v/>
      </c>
      <c r="B132" s="11" t="n"/>
      <c r="C132" s="11" t="n"/>
      <c r="D132" s="11" t="n"/>
      <c r="E132" s="11" t="n"/>
      <c r="F132" s="11" t="n"/>
      <c r="G132" s="12" t="n"/>
      <c r="H132" s="11" t="n"/>
      <c r="I132" s="11" t="n"/>
      <c r="J132" s="12" t="n"/>
      <c r="K132" s="11" t="n"/>
    </row>
    <row r="133">
      <c r="A133" s="10">
        <f>IF(B133="","",ROW()-5)</f>
        <v/>
      </c>
      <c r="B133" s="11" t="n"/>
      <c r="C133" s="11" t="n"/>
      <c r="D133" s="11" t="n"/>
      <c r="E133" s="11" t="n"/>
      <c r="F133" s="11" t="n"/>
      <c r="G133" s="12" t="n"/>
      <c r="H133" s="11" t="n"/>
      <c r="I133" s="11" t="n"/>
      <c r="J133" s="12" t="n"/>
      <c r="K133" s="11" t="n"/>
    </row>
    <row r="134">
      <c r="A134" s="10">
        <f>IF(B134="","",ROW()-5)</f>
        <v/>
      </c>
      <c r="B134" s="11" t="n"/>
      <c r="C134" s="11" t="n"/>
      <c r="D134" s="11" t="n"/>
      <c r="E134" s="11" t="n"/>
      <c r="F134" s="11" t="n"/>
      <c r="G134" s="12" t="n"/>
      <c r="H134" s="11" t="n"/>
      <c r="I134" s="11" t="n"/>
      <c r="J134" s="12" t="n"/>
      <c r="K134" s="11" t="n"/>
    </row>
    <row r="135">
      <c r="A135" s="10">
        <f>IF(B135="","",ROW()-5)</f>
        <v/>
      </c>
      <c r="B135" s="11" t="n"/>
      <c r="C135" s="11" t="n"/>
      <c r="D135" s="11" t="n"/>
      <c r="E135" s="11" t="n"/>
      <c r="F135" s="11" t="n"/>
      <c r="G135" s="12" t="n"/>
      <c r="H135" s="11" t="n"/>
      <c r="I135" s="11" t="n"/>
      <c r="J135" s="12" t="n"/>
      <c r="K135" s="11" t="n"/>
    </row>
    <row r="136">
      <c r="A136" s="10">
        <f>IF(B136="","",ROW()-5)</f>
        <v/>
      </c>
      <c r="B136" s="11" t="n"/>
      <c r="C136" s="11" t="n"/>
      <c r="D136" s="11" t="n"/>
      <c r="E136" s="11" t="n"/>
      <c r="F136" s="11" t="n"/>
      <c r="G136" s="12" t="n"/>
      <c r="H136" s="11" t="n"/>
      <c r="I136" s="11" t="n"/>
      <c r="J136" s="12" t="n"/>
      <c r="K136" s="11" t="n"/>
    </row>
    <row r="137">
      <c r="A137" s="10">
        <f>IF(B137="","",ROW()-5)</f>
        <v/>
      </c>
      <c r="B137" s="11" t="n"/>
      <c r="C137" s="11" t="n"/>
      <c r="D137" s="11" t="n"/>
      <c r="E137" s="11" t="n"/>
      <c r="F137" s="11" t="n"/>
      <c r="G137" s="12" t="n"/>
      <c r="H137" s="11" t="n"/>
      <c r="I137" s="11" t="n"/>
      <c r="J137" s="12" t="n"/>
      <c r="K137" s="11" t="n"/>
    </row>
    <row r="138">
      <c r="A138" s="10">
        <f>IF(B138="","",ROW()-5)</f>
        <v/>
      </c>
      <c r="B138" s="11" t="n"/>
      <c r="C138" s="11" t="n"/>
      <c r="D138" s="11" t="n"/>
      <c r="E138" s="11" t="n"/>
      <c r="F138" s="11" t="n"/>
      <c r="G138" s="12" t="n"/>
      <c r="H138" s="11" t="n"/>
      <c r="I138" s="11" t="n"/>
      <c r="J138" s="12" t="n"/>
      <c r="K138" s="11" t="n"/>
    </row>
    <row r="139">
      <c r="A139" s="10">
        <f>IF(B139="","",ROW()-5)</f>
        <v/>
      </c>
      <c r="B139" s="11" t="n"/>
      <c r="C139" s="11" t="n"/>
      <c r="D139" s="11" t="n"/>
      <c r="E139" s="11" t="n"/>
      <c r="F139" s="11" t="n"/>
      <c r="G139" s="12" t="n"/>
      <c r="H139" s="11" t="n"/>
      <c r="I139" s="11" t="n"/>
      <c r="J139" s="12" t="n"/>
      <c r="K139" s="11" t="n"/>
    </row>
    <row r="140">
      <c r="A140" s="10">
        <f>IF(B140="","",ROW()-5)</f>
        <v/>
      </c>
      <c r="B140" s="11" t="n"/>
      <c r="C140" s="11" t="n"/>
      <c r="D140" s="11" t="n"/>
      <c r="E140" s="11" t="n"/>
      <c r="F140" s="11" t="n"/>
      <c r="G140" s="12" t="n"/>
      <c r="H140" s="11" t="n"/>
      <c r="I140" s="11" t="n"/>
      <c r="J140" s="12" t="n"/>
      <c r="K140" s="11" t="n"/>
    </row>
    <row r="141">
      <c r="A141" s="10">
        <f>IF(B141="","",ROW()-5)</f>
        <v/>
      </c>
      <c r="B141" s="11" t="n"/>
      <c r="C141" s="11" t="n"/>
      <c r="D141" s="11" t="n"/>
      <c r="E141" s="11" t="n"/>
      <c r="F141" s="11" t="n"/>
      <c r="G141" s="12" t="n"/>
      <c r="H141" s="11" t="n"/>
      <c r="I141" s="11" t="n"/>
      <c r="J141" s="12" t="n"/>
      <c r="K141" s="11" t="n"/>
    </row>
    <row r="142">
      <c r="A142" s="10">
        <f>IF(B142="","",ROW()-5)</f>
        <v/>
      </c>
      <c r="B142" s="11" t="n"/>
      <c r="C142" s="11" t="n"/>
      <c r="D142" s="11" t="n"/>
      <c r="E142" s="11" t="n"/>
      <c r="F142" s="11" t="n"/>
      <c r="G142" s="12" t="n"/>
      <c r="H142" s="11" t="n"/>
      <c r="I142" s="11" t="n"/>
      <c r="J142" s="12" t="n"/>
      <c r="K142" s="11" t="n"/>
    </row>
    <row r="143">
      <c r="A143" s="10">
        <f>IF(B143="","",ROW()-5)</f>
        <v/>
      </c>
      <c r="B143" s="11" t="n"/>
      <c r="C143" s="11" t="n"/>
      <c r="D143" s="11" t="n"/>
      <c r="E143" s="11" t="n"/>
      <c r="F143" s="11" t="n"/>
      <c r="G143" s="12" t="n"/>
      <c r="H143" s="11" t="n"/>
      <c r="I143" s="11" t="n"/>
      <c r="J143" s="12" t="n"/>
      <c r="K143" s="11" t="n"/>
    </row>
    <row r="144">
      <c r="A144" s="10">
        <f>IF(B144="","",ROW()-5)</f>
        <v/>
      </c>
      <c r="B144" s="11" t="n"/>
      <c r="C144" s="11" t="n"/>
      <c r="D144" s="11" t="n"/>
      <c r="E144" s="11" t="n"/>
      <c r="F144" s="11" t="n"/>
      <c r="G144" s="12" t="n"/>
      <c r="H144" s="11" t="n"/>
      <c r="I144" s="11" t="n"/>
      <c r="J144" s="12" t="n"/>
      <c r="K144" s="11" t="n"/>
    </row>
    <row r="145">
      <c r="A145" s="10">
        <f>IF(B145="","",ROW()-5)</f>
        <v/>
      </c>
      <c r="B145" s="11" t="n"/>
      <c r="C145" s="11" t="n"/>
      <c r="D145" s="11" t="n"/>
      <c r="E145" s="11" t="n"/>
      <c r="F145" s="11" t="n"/>
      <c r="G145" s="12" t="n"/>
      <c r="H145" s="11" t="n"/>
      <c r="I145" s="11" t="n"/>
      <c r="J145" s="12" t="n"/>
      <c r="K145" s="11" t="n"/>
    </row>
    <row r="146">
      <c r="A146" s="10">
        <f>IF(B146="","",ROW()-5)</f>
        <v/>
      </c>
      <c r="B146" s="11" t="n"/>
      <c r="C146" s="11" t="n"/>
      <c r="D146" s="11" t="n"/>
      <c r="E146" s="11" t="n"/>
      <c r="F146" s="11" t="n"/>
      <c r="G146" s="12" t="n"/>
      <c r="H146" s="11" t="n"/>
      <c r="I146" s="11" t="n"/>
      <c r="J146" s="12" t="n"/>
      <c r="K146" s="11" t="n"/>
    </row>
    <row r="147">
      <c r="A147" s="10">
        <f>IF(B147="","",ROW()-5)</f>
        <v/>
      </c>
      <c r="B147" s="11" t="n"/>
      <c r="C147" s="11" t="n"/>
      <c r="D147" s="11" t="n"/>
      <c r="E147" s="11" t="n"/>
      <c r="F147" s="11" t="n"/>
      <c r="G147" s="12" t="n"/>
      <c r="H147" s="11" t="n"/>
      <c r="I147" s="11" t="n"/>
      <c r="J147" s="12" t="n"/>
      <c r="K147" s="11" t="n"/>
    </row>
    <row r="148">
      <c r="A148" s="10">
        <f>IF(B148="","",ROW()-5)</f>
        <v/>
      </c>
      <c r="B148" s="11" t="n"/>
      <c r="C148" s="11" t="n"/>
      <c r="D148" s="11" t="n"/>
      <c r="E148" s="11" t="n"/>
      <c r="F148" s="11" t="n"/>
      <c r="G148" s="12" t="n"/>
      <c r="H148" s="11" t="n"/>
      <c r="I148" s="11" t="n"/>
      <c r="J148" s="12" t="n"/>
      <c r="K148" s="11" t="n"/>
    </row>
    <row r="149">
      <c r="A149" s="10">
        <f>IF(B149="","",ROW()-5)</f>
        <v/>
      </c>
      <c r="B149" s="11" t="n"/>
      <c r="C149" s="11" t="n"/>
      <c r="D149" s="11" t="n"/>
      <c r="E149" s="11" t="n"/>
      <c r="F149" s="11" t="n"/>
      <c r="G149" s="12" t="n"/>
      <c r="H149" s="11" t="n"/>
      <c r="I149" s="11" t="n"/>
      <c r="J149" s="12" t="n"/>
      <c r="K149" s="11" t="n"/>
    </row>
    <row r="150">
      <c r="A150" s="10">
        <f>IF(B150="","",ROW()-5)</f>
        <v/>
      </c>
      <c r="B150" s="11" t="n"/>
      <c r="C150" s="11" t="n"/>
      <c r="D150" s="11" t="n"/>
      <c r="E150" s="11" t="n"/>
      <c r="F150" s="11" t="n"/>
      <c r="G150" s="12" t="n"/>
      <c r="H150" s="11" t="n"/>
      <c r="I150" s="11" t="n"/>
      <c r="J150" s="12" t="n"/>
      <c r="K150" s="11" t="n"/>
    </row>
    <row r="151">
      <c r="A151" s="10">
        <f>IF(B151="","",ROW()-5)</f>
        <v/>
      </c>
      <c r="B151" s="11" t="n"/>
      <c r="C151" s="11" t="n"/>
      <c r="D151" s="11" t="n"/>
      <c r="E151" s="11" t="n"/>
      <c r="F151" s="11" t="n"/>
      <c r="G151" s="12" t="n"/>
      <c r="H151" s="11" t="n"/>
      <c r="I151" s="11" t="n"/>
      <c r="J151" s="12" t="n"/>
      <c r="K151" s="11" t="n"/>
    </row>
    <row r="152">
      <c r="A152" s="10">
        <f>IF(B152="","",ROW()-5)</f>
        <v/>
      </c>
      <c r="B152" s="11" t="n"/>
      <c r="C152" s="11" t="n"/>
      <c r="D152" s="11" t="n"/>
      <c r="E152" s="11" t="n"/>
      <c r="F152" s="11" t="n"/>
      <c r="G152" s="12" t="n"/>
      <c r="H152" s="11" t="n"/>
      <c r="I152" s="11" t="n"/>
      <c r="J152" s="12" t="n"/>
      <c r="K152" s="11" t="n"/>
    </row>
    <row r="153">
      <c r="A153" s="10">
        <f>IF(B153="","",ROW()-5)</f>
        <v/>
      </c>
      <c r="B153" s="11" t="n"/>
      <c r="C153" s="11" t="n"/>
      <c r="D153" s="11" t="n"/>
      <c r="E153" s="11" t="n"/>
      <c r="F153" s="11" t="n"/>
      <c r="G153" s="12" t="n"/>
      <c r="H153" s="11" t="n"/>
      <c r="I153" s="11" t="n"/>
      <c r="J153" s="12" t="n"/>
      <c r="K153" s="11" t="n"/>
    </row>
    <row r="154">
      <c r="A154" s="10">
        <f>IF(B154="","",ROW()-5)</f>
        <v/>
      </c>
      <c r="B154" s="11" t="n"/>
      <c r="C154" s="11" t="n"/>
      <c r="D154" s="11" t="n"/>
      <c r="E154" s="11" t="n"/>
      <c r="F154" s="11" t="n"/>
      <c r="G154" s="12" t="n"/>
      <c r="H154" s="11" t="n"/>
      <c r="I154" s="11" t="n"/>
      <c r="J154" s="12" t="n"/>
      <c r="K154" s="11" t="n"/>
    </row>
    <row r="155">
      <c r="A155" s="10">
        <f>IF(B155="","",ROW()-5)</f>
        <v/>
      </c>
      <c r="B155" s="11" t="n"/>
      <c r="C155" s="11" t="n"/>
      <c r="D155" s="11" t="n"/>
      <c r="E155" s="11" t="n"/>
      <c r="F155" s="11" t="n"/>
      <c r="G155" s="12" t="n"/>
      <c r="H155" s="11" t="n"/>
      <c r="I155" s="11" t="n"/>
      <c r="J155" s="12" t="n"/>
      <c r="K155" s="11" t="n"/>
    </row>
    <row r="156">
      <c r="A156" s="10">
        <f>IF(B156="","",ROW()-5)</f>
        <v/>
      </c>
      <c r="B156" s="11" t="n"/>
      <c r="C156" s="11" t="n"/>
      <c r="D156" s="11" t="n"/>
      <c r="E156" s="11" t="n"/>
      <c r="F156" s="11" t="n"/>
      <c r="G156" s="12" t="n"/>
      <c r="H156" s="11" t="n"/>
      <c r="I156" s="11" t="n"/>
      <c r="J156" s="12" t="n"/>
      <c r="K156" s="11" t="n"/>
    </row>
    <row r="157">
      <c r="A157" s="10">
        <f>IF(B157="","",ROW()-5)</f>
        <v/>
      </c>
      <c r="B157" s="11" t="n"/>
      <c r="C157" s="11" t="n"/>
      <c r="D157" s="11" t="n"/>
      <c r="E157" s="11" t="n"/>
      <c r="F157" s="11" t="n"/>
      <c r="G157" s="12" t="n"/>
      <c r="H157" s="11" t="n"/>
      <c r="I157" s="11" t="n"/>
      <c r="J157" s="12" t="n"/>
      <c r="K157" s="11" t="n"/>
    </row>
    <row r="158">
      <c r="A158" s="10">
        <f>IF(B158="","",ROW()-5)</f>
        <v/>
      </c>
      <c r="B158" s="11" t="n"/>
      <c r="C158" s="11" t="n"/>
      <c r="D158" s="11" t="n"/>
      <c r="E158" s="11" t="n"/>
      <c r="F158" s="11" t="n"/>
      <c r="G158" s="12" t="n"/>
      <c r="H158" s="11" t="n"/>
      <c r="I158" s="11" t="n"/>
      <c r="J158" s="12" t="n"/>
      <c r="K158" s="11" t="n"/>
    </row>
    <row r="159">
      <c r="A159" s="10">
        <f>IF(B159="","",ROW()-5)</f>
        <v/>
      </c>
      <c r="B159" s="11" t="n"/>
      <c r="C159" s="11" t="n"/>
      <c r="D159" s="11" t="n"/>
      <c r="E159" s="11" t="n"/>
      <c r="F159" s="11" t="n"/>
      <c r="G159" s="12" t="n"/>
      <c r="H159" s="11" t="n"/>
      <c r="I159" s="11" t="n"/>
      <c r="J159" s="12" t="n"/>
      <c r="K159" s="11" t="n"/>
    </row>
    <row r="160">
      <c r="A160" s="10">
        <f>IF(B160="","",ROW()-5)</f>
        <v/>
      </c>
      <c r="B160" s="11" t="n"/>
      <c r="C160" s="11" t="n"/>
      <c r="D160" s="11" t="n"/>
      <c r="E160" s="11" t="n"/>
      <c r="F160" s="11" t="n"/>
      <c r="G160" s="12" t="n"/>
      <c r="H160" s="11" t="n"/>
      <c r="I160" s="11" t="n"/>
      <c r="J160" s="12" t="n"/>
      <c r="K160" s="11" t="n"/>
    </row>
    <row r="161">
      <c r="A161" s="10">
        <f>IF(B161="","",ROW()-5)</f>
        <v/>
      </c>
      <c r="B161" s="11" t="n"/>
      <c r="C161" s="11" t="n"/>
      <c r="D161" s="11" t="n"/>
      <c r="E161" s="11" t="n"/>
      <c r="F161" s="11" t="n"/>
      <c r="G161" s="12" t="n"/>
      <c r="H161" s="11" t="n"/>
      <c r="I161" s="11" t="n"/>
      <c r="J161" s="12" t="n"/>
      <c r="K161" s="11" t="n"/>
    </row>
    <row r="162">
      <c r="A162" s="10">
        <f>IF(B162="","",ROW()-5)</f>
        <v/>
      </c>
      <c r="B162" s="11" t="n"/>
      <c r="C162" s="11" t="n"/>
      <c r="D162" s="11" t="n"/>
      <c r="E162" s="11" t="n"/>
      <c r="F162" s="11" t="n"/>
      <c r="G162" s="12" t="n"/>
      <c r="H162" s="11" t="n"/>
      <c r="I162" s="11" t="n"/>
      <c r="J162" s="12" t="n"/>
      <c r="K162" s="11" t="n"/>
    </row>
    <row r="163">
      <c r="A163" s="10">
        <f>IF(B163="","",ROW()-5)</f>
        <v/>
      </c>
      <c r="B163" s="11" t="n"/>
      <c r="C163" s="11" t="n"/>
      <c r="D163" s="11" t="n"/>
      <c r="E163" s="11" t="n"/>
      <c r="F163" s="11" t="n"/>
      <c r="G163" s="12" t="n"/>
      <c r="H163" s="11" t="n"/>
      <c r="I163" s="11" t="n"/>
      <c r="J163" s="12" t="n"/>
      <c r="K163" s="11" t="n"/>
    </row>
    <row r="164">
      <c r="A164" s="10">
        <f>IF(B164="","",ROW()-5)</f>
        <v/>
      </c>
      <c r="B164" s="11" t="n"/>
      <c r="C164" s="11" t="n"/>
      <c r="D164" s="11" t="n"/>
      <c r="E164" s="11" t="n"/>
      <c r="F164" s="11" t="n"/>
      <c r="G164" s="12" t="n"/>
      <c r="H164" s="11" t="n"/>
      <c r="I164" s="11" t="n"/>
      <c r="J164" s="12" t="n"/>
      <c r="K164" s="11" t="n"/>
    </row>
    <row r="165">
      <c r="A165" s="10">
        <f>IF(B165="","",ROW()-5)</f>
        <v/>
      </c>
      <c r="B165" s="11" t="n"/>
      <c r="C165" s="11" t="n"/>
      <c r="D165" s="11" t="n"/>
      <c r="E165" s="11" t="n"/>
      <c r="F165" s="11" t="n"/>
      <c r="G165" s="12" t="n"/>
      <c r="H165" s="11" t="n"/>
      <c r="I165" s="11" t="n"/>
      <c r="J165" s="12" t="n"/>
      <c r="K165" s="11" t="n"/>
    </row>
    <row r="166">
      <c r="A166" s="10">
        <f>IF(B166="","",ROW()-5)</f>
        <v/>
      </c>
      <c r="B166" s="11" t="n"/>
      <c r="C166" s="11" t="n"/>
      <c r="D166" s="11" t="n"/>
      <c r="E166" s="11" t="n"/>
      <c r="F166" s="11" t="n"/>
      <c r="G166" s="12" t="n"/>
      <c r="H166" s="11" t="n"/>
      <c r="I166" s="11" t="n"/>
      <c r="J166" s="12" t="n"/>
      <c r="K166" s="11" t="n"/>
    </row>
    <row r="167">
      <c r="A167" s="10">
        <f>IF(B167="","",ROW()-5)</f>
        <v/>
      </c>
      <c r="B167" s="11" t="n"/>
      <c r="C167" s="11" t="n"/>
      <c r="D167" s="11" t="n"/>
      <c r="E167" s="11" t="n"/>
      <c r="F167" s="11" t="n"/>
      <c r="G167" s="12" t="n"/>
      <c r="H167" s="11" t="n"/>
      <c r="I167" s="11" t="n"/>
      <c r="J167" s="12" t="n"/>
      <c r="K167" s="11" t="n"/>
    </row>
    <row r="168">
      <c r="A168" s="10">
        <f>IF(B168="","",ROW()-5)</f>
        <v/>
      </c>
      <c r="B168" s="11" t="n"/>
      <c r="C168" s="11" t="n"/>
      <c r="D168" s="11" t="n"/>
      <c r="E168" s="11" t="n"/>
      <c r="F168" s="11" t="n"/>
      <c r="G168" s="12" t="n"/>
      <c r="H168" s="11" t="n"/>
      <c r="I168" s="11" t="n"/>
      <c r="J168" s="12" t="n"/>
      <c r="K168" s="11" t="n"/>
    </row>
    <row r="169">
      <c r="A169" s="10">
        <f>IF(B169="","",ROW()-5)</f>
        <v/>
      </c>
      <c r="B169" s="11" t="n"/>
      <c r="C169" s="11" t="n"/>
      <c r="D169" s="11" t="n"/>
      <c r="E169" s="11" t="n"/>
      <c r="F169" s="11" t="n"/>
      <c r="G169" s="12" t="n"/>
      <c r="H169" s="11" t="n"/>
      <c r="I169" s="11" t="n"/>
      <c r="J169" s="12" t="n"/>
      <c r="K169" s="11" t="n"/>
    </row>
    <row r="170">
      <c r="A170" s="10">
        <f>IF(B170="","",ROW()-5)</f>
        <v/>
      </c>
      <c r="B170" s="11" t="n"/>
      <c r="C170" s="11" t="n"/>
      <c r="D170" s="11" t="n"/>
      <c r="E170" s="11" t="n"/>
      <c r="F170" s="11" t="n"/>
      <c r="G170" s="12" t="n"/>
      <c r="H170" s="11" t="n"/>
      <c r="I170" s="11" t="n"/>
      <c r="J170" s="12" t="n"/>
      <c r="K170" s="11" t="n"/>
    </row>
    <row r="171">
      <c r="A171" s="10">
        <f>IF(B171="","",ROW()-5)</f>
        <v/>
      </c>
      <c r="B171" s="11" t="n"/>
      <c r="C171" s="11" t="n"/>
      <c r="D171" s="11" t="n"/>
      <c r="E171" s="11" t="n"/>
      <c r="F171" s="11" t="n"/>
      <c r="G171" s="12" t="n"/>
      <c r="H171" s="11" t="n"/>
      <c r="I171" s="11" t="n"/>
      <c r="J171" s="12" t="n"/>
      <c r="K171" s="11" t="n"/>
    </row>
    <row r="172">
      <c r="A172" s="10">
        <f>IF(B172="","",ROW()-5)</f>
        <v/>
      </c>
      <c r="B172" s="11" t="n"/>
      <c r="C172" s="11" t="n"/>
      <c r="D172" s="11" t="n"/>
      <c r="E172" s="11" t="n"/>
      <c r="F172" s="11" t="n"/>
      <c r="G172" s="12" t="n"/>
      <c r="H172" s="11" t="n"/>
      <c r="I172" s="11" t="n"/>
      <c r="J172" s="12" t="n"/>
      <c r="K172" s="11" t="n"/>
    </row>
    <row r="173">
      <c r="A173" s="10">
        <f>IF(B173="","",ROW()-5)</f>
        <v/>
      </c>
      <c r="B173" s="11" t="n"/>
      <c r="C173" s="11" t="n"/>
      <c r="D173" s="11" t="n"/>
      <c r="E173" s="11" t="n"/>
      <c r="F173" s="11" t="n"/>
      <c r="G173" s="12" t="n"/>
      <c r="H173" s="11" t="n"/>
      <c r="I173" s="11" t="n"/>
      <c r="J173" s="12" t="n"/>
      <c r="K173" s="11" t="n"/>
    </row>
    <row r="174">
      <c r="A174" s="10">
        <f>IF(B174="","",ROW()-5)</f>
        <v/>
      </c>
      <c r="B174" s="11" t="n"/>
      <c r="C174" s="11" t="n"/>
      <c r="D174" s="11" t="n"/>
      <c r="E174" s="11" t="n"/>
      <c r="F174" s="11" t="n"/>
      <c r="G174" s="12" t="n"/>
      <c r="H174" s="11" t="n"/>
      <c r="I174" s="11" t="n"/>
      <c r="J174" s="12" t="n"/>
      <c r="K174" s="11" t="n"/>
    </row>
    <row r="175">
      <c r="A175" s="10">
        <f>IF(B175="","",ROW()-5)</f>
        <v/>
      </c>
      <c r="B175" s="11" t="n"/>
      <c r="C175" s="11" t="n"/>
      <c r="D175" s="11" t="n"/>
      <c r="E175" s="11" t="n"/>
      <c r="F175" s="11" t="n"/>
      <c r="G175" s="12" t="n"/>
      <c r="H175" s="11" t="n"/>
      <c r="I175" s="11" t="n"/>
      <c r="J175" s="12" t="n"/>
      <c r="K175" s="11" t="n"/>
    </row>
    <row r="176">
      <c r="A176" s="10">
        <f>IF(B176="","",ROW()-5)</f>
        <v/>
      </c>
      <c r="B176" s="11" t="n"/>
      <c r="C176" s="11" t="n"/>
      <c r="D176" s="11" t="n"/>
      <c r="E176" s="11" t="n"/>
      <c r="F176" s="11" t="n"/>
      <c r="G176" s="12" t="n"/>
      <c r="H176" s="11" t="n"/>
      <c r="I176" s="11" t="n"/>
      <c r="J176" s="12" t="n"/>
      <c r="K176" s="11" t="n"/>
    </row>
    <row r="177">
      <c r="A177" s="10">
        <f>IF(B177="","",ROW()-5)</f>
        <v/>
      </c>
      <c r="B177" s="11" t="n"/>
      <c r="C177" s="11" t="n"/>
      <c r="D177" s="11" t="n"/>
      <c r="E177" s="11" t="n"/>
      <c r="F177" s="11" t="n"/>
      <c r="G177" s="12" t="n"/>
      <c r="H177" s="11" t="n"/>
      <c r="I177" s="11" t="n"/>
      <c r="J177" s="12" t="n"/>
      <c r="K177" s="11" t="n"/>
    </row>
    <row r="178">
      <c r="A178" s="10">
        <f>IF(B178="","",ROW()-5)</f>
        <v/>
      </c>
      <c r="B178" s="11" t="n"/>
      <c r="C178" s="11" t="n"/>
      <c r="D178" s="11" t="n"/>
      <c r="E178" s="11" t="n"/>
      <c r="F178" s="11" t="n"/>
      <c r="G178" s="12" t="n"/>
      <c r="H178" s="11" t="n"/>
      <c r="I178" s="11" t="n"/>
      <c r="J178" s="12" t="n"/>
      <c r="K178" s="11" t="n"/>
    </row>
    <row r="179">
      <c r="A179" s="10">
        <f>IF(B179="","",ROW()-5)</f>
        <v/>
      </c>
      <c r="B179" s="11" t="n"/>
      <c r="C179" s="11" t="n"/>
      <c r="D179" s="11" t="n"/>
      <c r="E179" s="11" t="n"/>
      <c r="F179" s="11" t="n"/>
      <c r="G179" s="12" t="n"/>
      <c r="H179" s="11" t="n"/>
      <c r="I179" s="11" t="n"/>
      <c r="J179" s="12" t="n"/>
      <c r="K179" s="11" t="n"/>
    </row>
    <row r="180">
      <c r="A180" s="10">
        <f>IF(B180="","",ROW()-5)</f>
        <v/>
      </c>
      <c r="B180" s="11" t="n"/>
      <c r="C180" s="11" t="n"/>
      <c r="D180" s="11" t="n"/>
      <c r="E180" s="11" t="n"/>
      <c r="F180" s="11" t="n"/>
      <c r="G180" s="12" t="n"/>
      <c r="H180" s="11" t="n"/>
      <c r="I180" s="11" t="n"/>
      <c r="J180" s="12" t="n"/>
      <c r="K180" s="11" t="n"/>
    </row>
    <row r="181">
      <c r="A181" s="10">
        <f>IF(B181="","",ROW()-5)</f>
        <v/>
      </c>
      <c r="B181" s="11" t="n"/>
      <c r="C181" s="11" t="n"/>
      <c r="D181" s="11" t="n"/>
      <c r="E181" s="11" t="n"/>
      <c r="F181" s="11" t="n"/>
      <c r="G181" s="12" t="n"/>
      <c r="H181" s="11" t="n"/>
      <c r="I181" s="11" t="n"/>
      <c r="J181" s="12" t="n"/>
      <c r="K181" s="11" t="n"/>
    </row>
    <row r="182">
      <c r="A182" s="10">
        <f>IF(B182="","",ROW()-5)</f>
        <v/>
      </c>
      <c r="B182" s="11" t="n"/>
      <c r="C182" s="11" t="n"/>
      <c r="D182" s="11" t="n"/>
      <c r="E182" s="11" t="n"/>
      <c r="F182" s="11" t="n"/>
      <c r="G182" s="12" t="n"/>
      <c r="H182" s="11" t="n"/>
      <c r="I182" s="11" t="n"/>
      <c r="J182" s="12" t="n"/>
      <c r="K182" s="11" t="n"/>
    </row>
    <row r="183">
      <c r="A183" s="10">
        <f>IF(B183="","",ROW()-5)</f>
        <v/>
      </c>
      <c r="B183" s="11" t="n"/>
      <c r="C183" s="11" t="n"/>
      <c r="D183" s="11" t="n"/>
      <c r="E183" s="11" t="n"/>
      <c r="F183" s="11" t="n"/>
      <c r="G183" s="12" t="n"/>
      <c r="H183" s="11" t="n"/>
      <c r="I183" s="11" t="n"/>
      <c r="J183" s="12" t="n"/>
      <c r="K183" s="11" t="n"/>
    </row>
    <row r="184">
      <c r="A184" s="10">
        <f>IF(B184="","",ROW()-5)</f>
        <v/>
      </c>
      <c r="B184" s="11" t="n"/>
      <c r="C184" s="11" t="n"/>
      <c r="D184" s="11" t="n"/>
      <c r="E184" s="11" t="n"/>
      <c r="F184" s="11" t="n"/>
      <c r="G184" s="12" t="n"/>
      <c r="H184" s="11" t="n"/>
      <c r="I184" s="11" t="n"/>
      <c r="J184" s="12" t="n"/>
      <c r="K184" s="11" t="n"/>
    </row>
    <row r="185">
      <c r="A185" s="10">
        <f>IF(B185="","",ROW()-5)</f>
        <v/>
      </c>
      <c r="B185" s="11" t="n"/>
      <c r="C185" s="11" t="n"/>
      <c r="D185" s="11" t="n"/>
      <c r="E185" s="11" t="n"/>
      <c r="F185" s="11" t="n"/>
      <c r="G185" s="12" t="n"/>
      <c r="H185" s="11" t="n"/>
      <c r="I185" s="11" t="n"/>
      <c r="J185" s="12" t="n"/>
      <c r="K185" s="11" t="n"/>
    </row>
    <row r="186">
      <c r="A186" s="10">
        <f>IF(B186="","",ROW()-5)</f>
        <v/>
      </c>
      <c r="B186" s="11" t="n"/>
      <c r="C186" s="11" t="n"/>
      <c r="D186" s="11" t="n"/>
      <c r="E186" s="11" t="n"/>
      <c r="F186" s="11" t="n"/>
      <c r="G186" s="12" t="n"/>
      <c r="H186" s="11" t="n"/>
      <c r="I186" s="11" t="n"/>
      <c r="J186" s="12" t="n"/>
      <c r="K186" s="11" t="n"/>
    </row>
    <row r="187">
      <c r="A187" s="10">
        <f>IF(B187="","",ROW()-5)</f>
        <v/>
      </c>
      <c r="B187" s="11" t="n"/>
      <c r="C187" s="11" t="n"/>
      <c r="D187" s="11" t="n"/>
      <c r="E187" s="11" t="n"/>
      <c r="F187" s="11" t="n"/>
      <c r="G187" s="12" t="n"/>
      <c r="H187" s="11" t="n"/>
      <c r="I187" s="11" t="n"/>
      <c r="J187" s="12" t="n"/>
      <c r="K187" s="11" t="n"/>
    </row>
    <row r="188">
      <c r="A188" s="10">
        <f>IF(B188="","",ROW()-5)</f>
        <v/>
      </c>
      <c r="B188" s="11" t="n"/>
      <c r="C188" s="11" t="n"/>
      <c r="D188" s="11" t="n"/>
      <c r="E188" s="11" t="n"/>
      <c r="F188" s="11" t="n"/>
      <c r="G188" s="12" t="n"/>
      <c r="H188" s="11" t="n"/>
      <c r="I188" s="11" t="n"/>
      <c r="J188" s="12" t="n"/>
      <c r="K188" s="11" t="n"/>
    </row>
    <row r="189">
      <c r="A189" s="10">
        <f>IF(B189="","",ROW()-5)</f>
        <v/>
      </c>
      <c r="B189" s="11" t="n"/>
      <c r="C189" s="11" t="n"/>
      <c r="D189" s="11" t="n"/>
      <c r="E189" s="11" t="n"/>
      <c r="F189" s="11" t="n"/>
      <c r="G189" s="12" t="n"/>
      <c r="H189" s="11" t="n"/>
      <c r="I189" s="11" t="n"/>
      <c r="J189" s="12" t="n"/>
      <c r="K189" s="11" t="n"/>
    </row>
    <row r="190">
      <c r="A190" s="10">
        <f>IF(B190="","",ROW()-5)</f>
        <v/>
      </c>
      <c r="B190" s="11" t="n"/>
      <c r="C190" s="11" t="n"/>
      <c r="D190" s="11" t="n"/>
      <c r="E190" s="11" t="n"/>
      <c r="F190" s="11" t="n"/>
      <c r="G190" s="12" t="n"/>
      <c r="H190" s="11" t="n"/>
      <c r="I190" s="11" t="n"/>
      <c r="J190" s="12" t="n"/>
      <c r="K190" s="11" t="n"/>
    </row>
    <row r="191">
      <c r="A191" s="10">
        <f>IF(B191="","",ROW()-5)</f>
        <v/>
      </c>
      <c r="B191" s="11" t="n"/>
      <c r="C191" s="11" t="n"/>
      <c r="D191" s="11" t="n"/>
      <c r="E191" s="11" t="n"/>
      <c r="F191" s="11" t="n"/>
      <c r="G191" s="12" t="n"/>
      <c r="H191" s="11" t="n"/>
      <c r="I191" s="11" t="n"/>
      <c r="J191" s="12" t="n"/>
      <c r="K191" s="11" t="n"/>
    </row>
    <row r="192">
      <c r="A192" s="10">
        <f>IF(B192="","",ROW()-5)</f>
        <v/>
      </c>
      <c r="B192" s="11" t="n"/>
      <c r="C192" s="11" t="n"/>
      <c r="D192" s="11" t="n"/>
      <c r="E192" s="11" t="n"/>
      <c r="F192" s="11" t="n"/>
      <c r="G192" s="12" t="n"/>
      <c r="H192" s="11" t="n"/>
      <c r="I192" s="11" t="n"/>
      <c r="J192" s="12" t="n"/>
      <c r="K192" s="11" t="n"/>
    </row>
    <row r="193">
      <c r="A193" s="10">
        <f>IF(B193="","",ROW()-5)</f>
        <v/>
      </c>
      <c r="B193" s="11" t="n"/>
      <c r="C193" s="11" t="n"/>
      <c r="D193" s="11" t="n"/>
      <c r="E193" s="11" t="n"/>
      <c r="F193" s="11" t="n"/>
      <c r="G193" s="12" t="n"/>
      <c r="H193" s="11" t="n"/>
      <c r="I193" s="11" t="n"/>
      <c r="J193" s="12" t="n"/>
      <c r="K193" s="11" t="n"/>
    </row>
    <row r="194">
      <c r="A194" s="10">
        <f>IF(B194="","",ROW()-5)</f>
        <v/>
      </c>
      <c r="B194" s="11" t="n"/>
      <c r="C194" s="11" t="n"/>
      <c r="D194" s="11" t="n"/>
      <c r="E194" s="11" t="n"/>
      <c r="F194" s="11" t="n"/>
      <c r="G194" s="12" t="n"/>
      <c r="H194" s="11" t="n"/>
      <c r="I194" s="11" t="n"/>
      <c r="J194" s="12" t="n"/>
      <c r="K194" s="11" t="n"/>
    </row>
    <row r="195">
      <c r="A195" s="10">
        <f>IF(B195="","",ROW()-5)</f>
        <v/>
      </c>
      <c r="B195" s="11" t="n"/>
      <c r="C195" s="11" t="n"/>
      <c r="D195" s="11" t="n"/>
      <c r="E195" s="11" t="n"/>
      <c r="F195" s="11" t="n"/>
      <c r="G195" s="12" t="n"/>
      <c r="H195" s="11" t="n"/>
      <c r="I195" s="11" t="n"/>
      <c r="J195" s="12" t="n"/>
      <c r="K195" s="11" t="n"/>
    </row>
    <row r="196">
      <c r="A196" s="10">
        <f>IF(B196="","",ROW()-5)</f>
        <v/>
      </c>
      <c r="B196" s="11" t="n"/>
      <c r="C196" s="11" t="n"/>
      <c r="D196" s="11" t="n"/>
      <c r="E196" s="11" t="n"/>
      <c r="F196" s="11" t="n"/>
      <c r="G196" s="12" t="n"/>
      <c r="H196" s="11" t="n"/>
      <c r="I196" s="11" t="n"/>
      <c r="J196" s="12" t="n"/>
      <c r="K196" s="11" t="n"/>
    </row>
    <row r="197">
      <c r="A197" s="10">
        <f>IF(B197="","",ROW()-5)</f>
        <v/>
      </c>
      <c r="B197" s="11" t="n"/>
      <c r="C197" s="11" t="n"/>
      <c r="D197" s="11" t="n"/>
      <c r="E197" s="11" t="n"/>
      <c r="F197" s="11" t="n"/>
      <c r="G197" s="12" t="n"/>
      <c r="H197" s="11" t="n"/>
      <c r="I197" s="11" t="n"/>
      <c r="J197" s="12" t="n"/>
      <c r="K197" s="11" t="n"/>
    </row>
    <row r="198">
      <c r="A198" s="10">
        <f>IF(B198="","",ROW()-5)</f>
        <v/>
      </c>
      <c r="B198" s="11" t="n"/>
      <c r="C198" s="11" t="n"/>
      <c r="D198" s="11" t="n"/>
      <c r="E198" s="11" t="n"/>
      <c r="F198" s="11" t="n"/>
      <c r="G198" s="12" t="n"/>
      <c r="H198" s="11" t="n"/>
      <c r="I198" s="11" t="n"/>
      <c r="J198" s="12" t="n"/>
      <c r="K198" s="11" t="n"/>
    </row>
    <row r="199">
      <c r="A199" s="10">
        <f>IF(B199="","",ROW()-5)</f>
        <v/>
      </c>
      <c r="B199" s="11" t="n"/>
      <c r="C199" s="11" t="n"/>
      <c r="D199" s="11" t="n"/>
      <c r="E199" s="11" t="n"/>
      <c r="F199" s="11" t="n"/>
      <c r="G199" s="12" t="n"/>
      <c r="H199" s="11" t="n"/>
      <c r="I199" s="11" t="n"/>
      <c r="J199" s="12" t="n"/>
      <c r="K199" s="11" t="n"/>
    </row>
    <row r="200">
      <c r="A200" s="10">
        <f>IF(B200="","",ROW()-5)</f>
        <v/>
      </c>
      <c r="B200" s="11" t="n"/>
      <c r="C200" s="11" t="n"/>
      <c r="D200" s="11" t="n"/>
      <c r="E200" s="11" t="n"/>
      <c r="F200" s="11" t="n"/>
      <c r="G200" s="12" t="n"/>
      <c r="H200" s="11" t="n"/>
      <c r="I200" s="11" t="n"/>
      <c r="J200" s="12" t="n"/>
      <c r="K200" s="11" t="n"/>
    </row>
    <row r="201">
      <c r="A201" s="10">
        <f>IF(B201="","",ROW()-5)</f>
        <v/>
      </c>
      <c r="B201" s="11" t="n"/>
      <c r="C201" s="11" t="n"/>
      <c r="D201" s="11" t="n"/>
      <c r="E201" s="11" t="n"/>
      <c r="F201" s="11" t="n"/>
      <c r="G201" s="12" t="n"/>
      <c r="H201" s="11" t="n"/>
      <c r="I201" s="11" t="n"/>
      <c r="J201" s="12" t="n"/>
      <c r="K201" s="11" t="n"/>
    </row>
    <row r="202">
      <c r="A202" s="10">
        <f>IF(B202="","",ROW()-5)</f>
        <v/>
      </c>
      <c r="B202" s="11" t="n"/>
      <c r="C202" s="11" t="n"/>
      <c r="D202" s="11" t="n"/>
      <c r="E202" s="11" t="n"/>
      <c r="F202" s="11" t="n"/>
      <c r="G202" s="12" t="n"/>
      <c r="H202" s="11" t="n"/>
      <c r="I202" s="11" t="n"/>
      <c r="J202" s="12" t="n"/>
      <c r="K202" s="11" t="n"/>
    </row>
    <row r="203">
      <c r="A203" s="10">
        <f>IF(B203="","",ROW()-5)</f>
        <v/>
      </c>
      <c r="B203" s="11" t="n"/>
      <c r="C203" s="11" t="n"/>
      <c r="D203" s="11" t="n"/>
      <c r="E203" s="11" t="n"/>
      <c r="F203" s="11" t="n"/>
      <c r="G203" s="12" t="n"/>
      <c r="H203" s="11" t="n"/>
      <c r="I203" s="11" t="n"/>
      <c r="J203" s="12" t="n"/>
      <c r="K203" s="11" t="n"/>
    </row>
    <row r="204">
      <c r="A204" s="10">
        <f>IF(B204="","",ROW()-5)</f>
        <v/>
      </c>
      <c r="B204" s="11" t="n"/>
      <c r="C204" s="11" t="n"/>
      <c r="D204" s="11" t="n"/>
      <c r="E204" s="11" t="n"/>
      <c r="F204" s="11" t="n"/>
      <c r="G204" s="12" t="n"/>
      <c r="H204" s="11" t="n"/>
      <c r="I204" s="11" t="n"/>
      <c r="J204" s="12" t="n"/>
      <c r="K204" s="11" t="n"/>
    </row>
    <row r="205">
      <c r="A205" s="10">
        <f>IF(B205="","",ROW()-5)</f>
        <v/>
      </c>
      <c r="B205" s="11" t="n"/>
      <c r="C205" s="11" t="n"/>
      <c r="D205" s="11" t="n"/>
      <c r="E205" s="11" t="n"/>
      <c r="F205" s="11" t="n"/>
      <c r="G205" s="12" t="n"/>
      <c r="H205" s="11" t="n"/>
      <c r="I205" s="11" t="n"/>
      <c r="J205" s="12" t="n"/>
      <c r="K205" s="11" t="n"/>
    </row>
    <row r="206">
      <c r="A206" s="10">
        <f>IF(B206="","",ROW()-5)</f>
        <v/>
      </c>
      <c r="B206" s="11" t="n"/>
      <c r="C206" s="11" t="n"/>
      <c r="D206" s="11" t="n"/>
      <c r="E206" s="11" t="n"/>
      <c r="F206" s="11" t="n"/>
      <c r="G206" s="12" t="n"/>
      <c r="H206" s="11" t="n"/>
      <c r="I206" s="11" t="n"/>
      <c r="J206" s="12" t="n"/>
      <c r="K206" s="11" t="n"/>
    </row>
    <row r="207">
      <c r="A207" s="10">
        <f>IF(B207="","",ROW()-5)</f>
        <v/>
      </c>
      <c r="B207" s="11" t="n"/>
      <c r="C207" s="11" t="n"/>
      <c r="D207" s="11" t="n"/>
      <c r="E207" s="11" t="n"/>
      <c r="F207" s="11" t="n"/>
      <c r="G207" s="12" t="n"/>
      <c r="H207" s="11" t="n"/>
      <c r="I207" s="11" t="n"/>
      <c r="J207" s="12" t="n"/>
      <c r="K207" s="11" t="n"/>
    </row>
    <row r="208">
      <c r="A208" s="10">
        <f>IF(B208="","",ROW()-5)</f>
        <v/>
      </c>
      <c r="B208" s="11" t="n"/>
      <c r="C208" s="11" t="n"/>
      <c r="D208" s="11" t="n"/>
      <c r="E208" s="11" t="n"/>
      <c r="F208" s="11" t="n"/>
      <c r="G208" s="12" t="n"/>
      <c r="H208" s="11" t="n"/>
      <c r="I208" s="11" t="n"/>
      <c r="J208" s="12" t="n"/>
      <c r="K208" s="11" t="n"/>
    </row>
    <row r="209">
      <c r="A209" s="10">
        <f>IF(B209="","",ROW()-5)</f>
        <v/>
      </c>
      <c r="B209" s="11" t="n"/>
      <c r="C209" s="11" t="n"/>
      <c r="D209" s="11" t="n"/>
      <c r="E209" s="11" t="n"/>
      <c r="F209" s="11" t="n"/>
      <c r="G209" s="12" t="n"/>
      <c r="H209" s="11" t="n"/>
      <c r="I209" s="11" t="n"/>
      <c r="J209" s="12" t="n"/>
      <c r="K209" s="11" t="n"/>
    </row>
    <row r="210">
      <c r="A210" s="10">
        <f>IF(B210="","",ROW()-5)</f>
        <v/>
      </c>
      <c r="B210" s="11" t="n"/>
      <c r="C210" s="11" t="n"/>
      <c r="D210" s="11" t="n"/>
      <c r="E210" s="11" t="n"/>
      <c r="F210" s="11" t="n"/>
      <c r="G210" s="12" t="n"/>
      <c r="H210" s="11" t="n"/>
      <c r="I210" s="11" t="n"/>
      <c r="J210" s="12" t="n"/>
      <c r="K210" s="11" t="n"/>
    </row>
    <row r="211">
      <c r="A211" s="10">
        <f>IF(B211="","",ROW()-5)</f>
        <v/>
      </c>
      <c r="B211" s="11" t="n"/>
      <c r="C211" s="11" t="n"/>
      <c r="D211" s="11" t="n"/>
      <c r="E211" s="11" t="n"/>
      <c r="F211" s="11" t="n"/>
      <c r="G211" s="12" t="n"/>
      <c r="H211" s="11" t="n"/>
      <c r="I211" s="11" t="n"/>
      <c r="J211" s="12" t="n"/>
      <c r="K211" s="11" t="n"/>
    </row>
    <row r="212">
      <c r="A212" s="10">
        <f>IF(B212="","",ROW()-5)</f>
        <v/>
      </c>
      <c r="B212" s="11" t="n"/>
      <c r="C212" s="11" t="n"/>
      <c r="D212" s="11" t="n"/>
      <c r="E212" s="11" t="n"/>
      <c r="F212" s="11" t="n"/>
      <c r="G212" s="12" t="n"/>
      <c r="H212" s="11" t="n"/>
      <c r="I212" s="11" t="n"/>
      <c r="J212" s="12" t="n"/>
      <c r="K212" s="11" t="n"/>
    </row>
    <row r="213">
      <c r="A213" s="10">
        <f>IF(B213="","",ROW()-5)</f>
        <v/>
      </c>
      <c r="B213" s="11" t="n"/>
      <c r="C213" s="11" t="n"/>
      <c r="D213" s="11" t="n"/>
      <c r="E213" s="11" t="n"/>
      <c r="F213" s="11" t="n"/>
      <c r="G213" s="12" t="n"/>
      <c r="H213" s="11" t="n"/>
      <c r="I213" s="11" t="n"/>
      <c r="J213" s="12" t="n"/>
      <c r="K213" s="11" t="n"/>
    </row>
    <row r="214">
      <c r="A214" s="10">
        <f>IF(B214="","",ROW()-5)</f>
        <v/>
      </c>
      <c r="B214" s="11" t="n"/>
      <c r="C214" s="11" t="n"/>
      <c r="D214" s="11" t="n"/>
      <c r="E214" s="11" t="n"/>
      <c r="F214" s="11" t="n"/>
      <c r="G214" s="12" t="n"/>
      <c r="H214" s="11" t="n"/>
      <c r="I214" s="11" t="n"/>
      <c r="J214" s="12" t="n"/>
      <c r="K214" s="11" t="n"/>
    </row>
    <row r="215">
      <c r="A215" s="10">
        <f>IF(B215="","",ROW()-5)</f>
        <v/>
      </c>
      <c r="B215" s="11" t="n"/>
      <c r="C215" s="11" t="n"/>
      <c r="D215" s="11" t="n"/>
      <c r="E215" s="11" t="n"/>
      <c r="F215" s="11" t="n"/>
      <c r="G215" s="12" t="n"/>
      <c r="H215" s="11" t="n"/>
      <c r="I215" s="11" t="n"/>
      <c r="J215" s="12" t="n"/>
      <c r="K215" s="11" t="n"/>
    </row>
    <row r="216">
      <c r="A216" s="10">
        <f>IF(B216="","",ROW()-5)</f>
        <v/>
      </c>
      <c r="B216" s="11" t="n"/>
      <c r="C216" s="11" t="n"/>
      <c r="D216" s="11" t="n"/>
      <c r="E216" s="11" t="n"/>
      <c r="F216" s="11" t="n"/>
      <c r="G216" s="12" t="n"/>
      <c r="H216" s="11" t="n"/>
      <c r="I216" s="11" t="n"/>
      <c r="J216" s="12" t="n"/>
      <c r="K216" s="11" t="n"/>
    </row>
    <row r="217">
      <c r="A217" s="10">
        <f>IF(B217="","",ROW()-5)</f>
        <v/>
      </c>
      <c r="B217" s="11" t="n"/>
      <c r="C217" s="11" t="n"/>
      <c r="D217" s="11" t="n"/>
      <c r="E217" s="11" t="n"/>
      <c r="F217" s="11" t="n"/>
      <c r="G217" s="12" t="n"/>
      <c r="H217" s="11" t="n"/>
      <c r="I217" s="11" t="n"/>
      <c r="J217" s="12" t="n"/>
      <c r="K217" s="11" t="n"/>
    </row>
    <row r="218">
      <c r="A218" s="10">
        <f>IF(B218="","",ROW()-5)</f>
        <v/>
      </c>
      <c r="B218" s="11" t="n"/>
      <c r="C218" s="11" t="n"/>
      <c r="D218" s="11" t="n"/>
      <c r="E218" s="11" t="n"/>
      <c r="F218" s="11" t="n"/>
      <c r="G218" s="12" t="n"/>
      <c r="H218" s="11" t="n"/>
      <c r="I218" s="11" t="n"/>
      <c r="J218" s="12" t="n"/>
      <c r="K218" s="11" t="n"/>
    </row>
    <row r="219">
      <c r="A219" s="10">
        <f>IF(B219="","",ROW()-5)</f>
        <v/>
      </c>
      <c r="B219" s="11" t="n"/>
      <c r="C219" s="11" t="n"/>
      <c r="D219" s="11" t="n"/>
      <c r="E219" s="11" t="n"/>
      <c r="F219" s="11" t="n"/>
      <c r="G219" s="12" t="n"/>
      <c r="H219" s="11" t="n"/>
      <c r="I219" s="11" t="n"/>
      <c r="J219" s="12" t="n"/>
      <c r="K219" s="11" t="n"/>
    </row>
    <row r="220">
      <c r="A220" s="10">
        <f>IF(B220="","",ROW()-5)</f>
        <v/>
      </c>
      <c r="B220" s="11" t="n"/>
      <c r="C220" s="11" t="n"/>
      <c r="D220" s="11" t="n"/>
      <c r="E220" s="11" t="n"/>
      <c r="F220" s="11" t="n"/>
      <c r="G220" s="12" t="n"/>
      <c r="H220" s="11" t="n"/>
      <c r="I220" s="11" t="n"/>
      <c r="J220" s="12" t="n"/>
      <c r="K220" s="11" t="n"/>
    </row>
    <row r="221">
      <c r="A221" s="10">
        <f>IF(B221="","",ROW()-5)</f>
        <v/>
      </c>
      <c r="B221" s="11" t="n"/>
      <c r="C221" s="11" t="n"/>
      <c r="D221" s="11" t="n"/>
      <c r="E221" s="11" t="n"/>
      <c r="F221" s="11" t="n"/>
      <c r="G221" s="12" t="n"/>
      <c r="H221" s="11" t="n"/>
      <c r="I221" s="11" t="n"/>
      <c r="J221" s="12" t="n"/>
      <c r="K221" s="11" t="n"/>
    </row>
    <row r="222">
      <c r="A222" s="10">
        <f>IF(B222="","",ROW()-5)</f>
        <v/>
      </c>
      <c r="B222" s="11" t="n"/>
      <c r="C222" s="11" t="n"/>
      <c r="D222" s="11" t="n"/>
      <c r="E222" s="11" t="n"/>
      <c r="F222" s="11" t="n"/>
      <c r="G222" s="12" t="n"/>
      <c r="H222" s="11" t="n"/>
      <c r="I222" s="11" t="n"/>
      <c r="J222" s="12" t="n"/>
      <c r="K222" s="11" t="n"/>
    </row>
    <row r="223">
      <c r="A223" s="10">
        <f>IF(B223="","",ROW()-5)</f>
        <v/>
      </c>
      <c r="B223" s="11" t="n"/>
      <c r="C223" s="11" t="n"/>
      <c r="D223" s="11" t="n"/>
      <c r="E223" s="11" t="n"/>
      <c r="F223" s="11" t="n"/>
      <c r="G223" s="12" t="n"/>
      <c r="H223" s="11" t="n"/>
      <c r="I223" s="11" t="n"/>
      <c r="J223" s="12" t="n"/>
      <c r="K223" s="11" t="n"/>
    </row>
    <row r="224">
      <c r="A224" s="10">
        <f>IF(B224="","",ROW()-5)</f>
        <v/>
      </c>
      <c r="B224" s="11" t="n"/>
      <c r="C224" s="11" t="n"/>
      <c r="D224" s="11" t="n"/>
      <c r="E224" s="11" t="n"/>
      <c r="F224" s="11" t="n"/>
      <c r="G224" s="12" t="n"/>
      <c r="H224" s="11" t="n"/>
      <c r="I224" s="11" t="n"/>
      <c r="J224" s="12" t="n"/>
      <c r="K224" s="11" t="n"/>
    </row>
    <row r="225">
      <c r="A225" s="10">
        <f>IF(B225="","",ROW()-5)</f>
        <v/>
      </c>
      <c r="B225" s="11" t="n"/>
      <c r="C225" s="11" t="n"/>
      <c r="D225" s="11" t="n"/>
      <c r="E225" s="11" t="n"/>
      <c r="F225" s="11" t="n"/>
      <c r="G225" s="12" t="n"/>
      <c r="H225" s="11" t="n"/>
      <c r="I225" s="11" t="n"/>
      <c r="J225" s="12" t="n"/>
      <c r="K225" s="11" t="n"/>
    </row>
    <row r="226">
      <c r="A226" s="10">
        <f>IF(B226="","",ROW()-5)</f>
        <v/>
      </c>
      <c r="B226" s="11" t="n"/>
      <c r="C226" s="11" t="n"/>
      <c r="D226" s="11" t="n"/>
      <c r="E226" s="11" t="n"/>
      <c r="F226" s="11" t="n"/>
      <c r="G226" s="12" t="n"/>
      <c r="H226" s="11" t="n"/>
      <c r="I226" s="11" t="n"/>
      <c r="J226" s="12" t="n"/>
      <c r="K226" s="11" t="n"/>
    </row>
    <row r="227">
      <c r="A227" s="10">
        <f>IF(B227="","",ROW()-5)</f>
        <v/>
      </c>
      <c r="B227" s="11" t="n"/>
      <c r="C227" s="11" t="n"/>
      <c r="D227" s="11" t="n"/>
      <c r="E227" s="11" t="n"/>
      <c r="F227" s="11" t="n"/>
      <c r="G227" s="12" t="n"/>
      <c r="H227" s="11" t="n"/>
      <c r="I227" s="11" t="n"/>
      <c r="J227" s="12" t="n"/>
      <c r="K227" s="11" t="n"/>
    </row>
    <row r="228">
      <c r="A228" s="10">
        <f>IF(B228="","",ROW()-5)</f>
        <v/>
      </c>
      <c r="B228" s="11" t="n"/>
      <c r="C228" s="11" t="n"/>
      <c r="D228" s="11" t="n"/>
      <c r="E228" s="11" t="n"/>
      <c r="F228" s="11" t="n"/>
      <c r="G228" s="12" t="n"/>
      <c r="H228" s="11" t="n"/>
      <c r="I228" s="11" t="n"/>
      <c r="J228" s="12" t="n"/>
      <c r="K228" s="11" t="n"/>
    </row>
    <row r="229">
      <c r="A229" s="10">
        <f>IF(B229="","",ROW()-5)</f>
        <v/>
      </c>
      <c r="B229" s="11" t="n"/>
      <c r="C229" s="11" t="n"/>
      <c r="D229" s="11" t="n"/>
      <c r="E229" s="11" t="n"/>
      <c r="F229" s="11" t="n"/>
      <c r="G229" s="12" t="n"/>
      <c r="H229" s="11" t="n"/>
      <c r="I229" s="11" t="n"/>
      <c r="J229" s="12" t="n"/>
      <c r="K229" s="11" t="n"/>
    </row>
    <row r="230">
      <c r="A230" s="10">
        <f>IF(B230="","",ROW()-5)</f>
        <v/>
      </c>
      <c r="B230" s="11" t="n"/>
      <c r="C230" s="11" t="n"/>
      <c r="D230" s="11" t="n"/>
      <c r="E230" s="11" t="n"/>
      <c r="F230" s="11" t="n"/>
      <c r="G230" s="12" t="n"/>
      <c r="H230" s="11" t="n"/>
      <c r="I230" s="11" t="n"/>
      <c r="J230" s="12" t="n"/>
      <c r="K230" s="11" t="n"/>
    </row>
    <row r="231">
      <c r="A231" s="10">
        <f>IF(B231="","",ROW()-5)</f>
        <v/>
      </c>
      <c r="B231" s="11" t="n"/>
      <c r="C231" s="11" t="n"/>
      <c r="D231" s="11" t="n"/>
      <c r="E231" s="11" t="n"/>
      <c r="F231" s="11" t="n"/>
      <c r="G231" s="12" t="n"/>
      <c r="H231" s="11" t="n"/>
      <c r="I231" s="11" t="n"/>
      <c r="J231" s="12" t="n"/>
      <c r="K231" s="11" t="n"/>
    </row>
    <row r="232">
      <c r="A232" s="10">
        <f>IF(B232="","",ROW()-5)</f>
        <v/>
      </c>
      <c r="B232" s="11" t="n"/>
      <c r="C232" s="11" t="n"/>
      <c r="D232" s="11" t="n"/>
      <c r="E232" s="11" t="n"/>
      <c r="F232" s="11" t="n"/>
      <c r="G232" s="12" t="n"/>
      <c r="H232" s="11" t="n"/>
      <c r="I232" s="11" t="n"/>
      <c r="J232" s="12" t="n"/>
      <c r="K232" s="11" t="n"/>
    </row>
    <row r="233">
      <c r="A233" s="10">
        <f>IF(B233="","",ROW()-5)</f>
        <v/>
      </c>
      <c r="B233" s="11" t="n"/>
      <c r="C233" s="11" t="n"/>
      <c r="D233" s="11" t="n"/>
      <c r="E233" s="11" t="n"/>
      <c r="F233" s="11" t="n"/>
      <c r="G233" s="12" t="n"/>
      <c r="H233" s="11" t="n"/>
      <c r="I233" s="11" t="n"/>
      <c r="J233" s="12" t="n"/>
      <c r="K233" s="11" t="n"/>
    </row>
    <row r="234">
      <c r="A234" s="10">
        <f>IF(B234="","",ROW()-5)</f>
        <v/>
      </c>
      <c r="B234" s="11" t="n"/>
      <c r="C234" s="11" t="n"/>
      <c r="D234" s="11" t="n"/>
      <c r="E234" s="11" t="n"/>
      <c r="F234" s="11" t="n"/>
      <c r="G234" s="12" t="n"/>
      <c r="H234" s="11" t="n"/>
      <c r="I234" s="11" t="n"/>
      <c r="J234" s="12" t="n"/>
      <c r="K234" s="11" t="n"/>
    </row>
    <row r="235">
      <c r="A235" s="10">
        <f>IF(B235="","",ROW()-5)</f>
        <v/>
      </c>
      <c r="B235" s="11" t="n"/>
      <c r="C235" s="11" t="n"/>
      <c r="D235" s="11" t="n"/>
      <c r="E235" s="11" t="n"/>
      <c r="F235" s="11" t="n"/>
      <c r="G235" s="12" t="n"/>
      <c r="H235" s="11" t="n"/>
      <c r="I235" s="11" t="n"/>
      <c r="J235" s="12" t="n"/>
      <c r="K235" s="11" t="n"/>
    </row>
    <row r="236">
      <c r="A236" s="10">
        <f>IF(B236="","",ROW()-5)</f>
        <v/>
      </c>
      <c r="B236" s="11" t="n"/>
      <c r="C236" s="11" t="n"/>
      <c r="D236" s="11" t="n"/>
      <c r="E236" s="11" t="n"/>
      <c r="F236" s="11" t="n"/>
      <c r="G236" s="12" t="n"/>
      <c r="H236" s="11" t="n"/>
      <c r="I236" s="11" t="n"/>
      <c r="J236" s="12" t="n"/>
      <c r="K236" s="11" t="n"/>
    </row>
    <row r="237">
      <c r="A237" s="10">
        <f>IF(B237="","",ROW()-5)</f>
        <v/>
      </c>
      <c r="B237" s="11" t="n"/>
      <c r="C237" s="11" t="n"/>
      <c r="D237" s="11" t="n"/>
      <c r="E237" s="11" t="n"/>
      <c r="F237" s="11" t="n"/>
      <c r="G237" s="12" t="n"/>
      <c r="H237" s="11" t="n"/>
      <c r="I237" s="11" t="n"/>
      <c r="J237" s="12" t="n"/>
      <c r="K237" s="11" t="n"/>
    </row>
    <row r="238">
      <c r="A238" s="10">
        <f>IF(B238="","",ROW()-5)</f>
        <v/>
      </c>
      <c r="B238" s="11" t="n"/>
      <c r="C238" s="11" t="n"/>
      <c r="D238" s="11" t="n"/>
      <c r="E238" s="11" t="n"/>
      <c r="F238" s="11" t="n"/>
      <c r="G238" s="12" t="n"/>
      <c r="H238" s="11" t="n"/>
      <c r="I238" s="11" t="n"/>
      <c r="J238" s="12" t="n"/>
      <c r="K238" s="11" t="n"/>
    </row>
    <row r="239">
      <c r="A239" s="10">
        <f>IF(B239="","",ROW()-5)</f>
        <v/>
      </c>
      <c r="B239" s="11" t="n"/>
      <c r="C239" s="11" t="n"/>
      <c r="D239" s="11" t="n"/>
      <c r="E239" s="11" t="n"/>
      <c r="F239" s="11" t="n"/>
      <c r="G239" s="12" t="n"/>
      <c r="H239" s="11" t="n"/>
      <c r="I239" s="11" t="n"/>
      <c r="J239" s="12" t="n"/>
      <c r="K239" s="11" t="n"/>
    </row>
    <row r="240">
      <c r="A240" s="10">
        <f>IF(B240="","",ROW()-5)</f>
        <v/>
      </c>
      <c r="B240" s="11" t="n"/>
      <c r="C240" s="11" t="n"/>
      <c r="D240" s="11" t="n"/>
      <c r="E240" s="11" t="n"/>
      <c r="F240" s="11" t="n"/>
      <c r="G240" s="12" t="n"/>
      <c r="H240" s="11" t="n"/>
      <c r="I240" s="11" t="n"/>
      <c r="J240" s="12" t="n"/>
      <c r="K240" s="11" t="n"/>
    </row>
    <row r="241">
      <c r="A241" s="10">
        <f>IF(B241="","",ROW()-5)</f>
        <v/>
      </c>
      <c r="B241" s="11" t="n"/>
      <c r="C241" s="11" t="n"/>
      <c r="D241" s="11" t="n"/>
      <c r="E241" s="11" t="n"/>
      <c r="F241" s="11" t="n"/>
      <c r="G241" s="12" t="n"/>
      <c r="H241" s="11" t="n"/>
      <c r="I241" s="11" t="n"/>
      <c r="J241" s="12" t="n"/>
      <c r="K241" s="11" t="n"/>
    </row>
    <row r="242">
      <c r="A242" s="10">
        <f>IF(B242="","",ROW()-5)</f>
        <v/>
      </c>
      <c r="B242" s="11" t="n"/>
      <c r="C242" s="11" t="n"/>
      <c r="D242" s="11" t="n"/>
      <c r="E242" s="11" t="n"/>
      <c r="F242" s="11" t="n"/>
      <c r="G242" s="12" t="n"/>
      <c r="H242" s="11" t="n"/>
      <c r="I242" s="11" t="n"/>
      <c r="J242" s="12" t="n"/>
      <c r="K242" s="11" t="n"/>
    </row>
    <row r="243">
      <c r="A243" s="10">
        <f>IF(B243="","",ROW()-5)</f>
        <v/>
      </c>
      <c r="B243" s="11" t="n"/>
      <c r="C243" s="11" t="n"/>
      <c r="D243" s="11" t="n"/>
      <c r="E243" s="11" t="n"/>
      <c r="F243" s="11" t="n"/>
      <c r="G243" s="12" t="n"/>
      <c r="H243" s="11" t="n"/>
      <c r="I243" s="11" t="n"/>
      <c r="J243" s="12" t="n"/>
      <c r="K243" s="11" t="n"/>
    </row>
    <row r="244">
      <c r="A244" s="10">
        <f>IF(B244="","",ROW()-5)</f>
        <v/>
      </c>
      <c r="B244" s="11" t="n"/>
      <c r="C244" s="11" t="n"/>
      <c r="D244" s="11" t="n"/>
      <c r="E244" s="11" t="n"/>
      <c r="F244" s="11" t="n"/>
      <c r="G244" s="12" t="n"/>
      <c r="H244" s="11" t="n"/>
      <c r="I244" s="11" t="n"/>
      <c r="J244" s="12" t="n"/>
      <c r="K244" s="11" t="n"/>
    </row>
    <row r="245">
      <c r="A245" s="10">
        <f>IF(B245="","",ROW()-5)</f>
        <v/>
      </c>
      <c r="B245" s="11" t="n"/>
      <c r="C245" s="11" t="n"/>
      <c r="D245" s="11" t="n"/>
      <c r="E245" s="11" t="n"/>
      <c r="F245" s="11" t="n"/>
      <c r="G245" s="12" t="n"/>
      <c r="H245" s="11" t="n"/>
      <c r="I245" s="11" t="n"/>
      <c r="J245" s="12" t="n"/>
      <c r="K245" s="11" t="n"/>
    </row>
    <row r="246">
      <c r="A246" s="10">
        <f>IF(B246="","",ROW()-5)</f>
        <v/>
      </c>
      <c r="B246" s="11" t="n"/>
      <c r="C246" s="11" t="n"/>
      <c r="D246" s="11" t="n"/>
      <c r="E246" s="11" t="n"/>
      <c r="F246" s="11" t="n"/>
      <c r="G246" s="12" t="n"/>
      <c r="H246" s="11" t="n"/>
      <c r="I246" s="11" t="n"/>
      <c r="J246" s="12" t="n"/>
      <c r="K246" s="11" t="n"/>
    </row>
    <row r="247">
      <c r="A247" s="10">
        <f>IF(B247="","",ROW()-5)</f>
        <v/>
      </c>
      <c r="B247" s="11" t="n"/>
      <c r="C247" s="11" t="n"/>
      <c r="D247" s="11" t="n"/>
      <c r="E247" s="11" t="n"/>
      <c r="F247" s="11" t="n"/>
      <c r="G247" s="12" t="n"/>
      <c r="H247" s="11" t="n"/>
      <c r="I247" s="11" t="n"/>
      <c r="J247" s="12" t="n"/>
      <c r="K247" s="11" t="n"/>
    </row>
    <row r="248">
      <c r="A248" s="10">
        <f>IF(B248="","",ROW()-5)</f>
        <v/>
      </c>
      <c r="B248" s="11" t="n"/>
      <c r="C248" s="11" t="n"/>
      <c r="D248" s="11" t="n"/>
      <c r="E248" s="11" t="n"/>
      <c r="F248" s="11" t="n"/>
      <c r="G248" s="12" t="n"/>
      <c r="H248" s="11" t="n"/>
      <c r="I248" s="11" t="n"/>
      <c r="J248" s="12" t="n"/>
      <c r="K248" s="11" t="n"/>
    </row>
    <row r="249">
      <c r="A249" s="10">
        <f>IF(B249="","",ROW()-5)</f>
        <v/>
      </c>
      <c r="B249" s="11" t="n"/>
      <c r="C249" s="11" t="n"/>
      <c r="D249" s="11" t="n"/>
      <c r="E249" s="11" t="n"/>
      <c r="F249" s="11" t="n"/>
      <c r="G249" s="12" t="n"/>
      <c r="H249" s="11" t="n"/>
      <c r="I249" s="11" t="n"/>
      <c r="J249" s="12" t="n"/>
      <c r="K249" s="11" t="n"/>
    </row>
    <row r="250">
      <c r="A250" s="10">
        <f>IF(B250="","",ROW()-5)</f>
        <v/>
      </c>
      <c r="B250" s="11" t="n"/>
      <c r="C250" s="11" t="n"/>
      <c r="D250" s="11" t="n"/>
      <c r="E250" s="11" t="n"/>
      <c r="F250" s="11" t="n"/>
      <c r="G250" s="12" t="n"/>
      <c r="H250" s="11" t="n"/>
      <c r="I250" s="11" t="n"/>
      <c r="J250" s="12" t="n"/>
      <c r="K250" s="11" t="n"/>
    </row>
    <row r="251">
      <c r="A251" s="10">
        <f>IF(B251="","",ROW()-5)</f>
        <v/>
      </c>
      <c r="B251" s="11" t="n"/>
      <c r="C251" s="11" t="n"/>
      <c r="D251" s="11" t="n"/>
      <c r="E251" s="11" t="n"/>
      <c r="F251" s="11" t="n"/>
      <c r="G251" s="12" t="n"/>
      <c r="H251" s="11" t="n"/>
      <c r="I251" s="11" t="n"/>
      <c r="J251" s="12" t="n"/>
      <c r="K251" s="11" t="n"/>
    </row>
    <row r="252">
      <c r="A252" s="10">
        <f>IF(B252="","",ROW()-5)</f>
        <v/>
      </c>
      <c r="B252" s="11" t="n"/>
      <c r="C252" s="11" t="n"/>
      <c r="D252" s="11" t="n"/>
      <c r="E252" s="11" t="n"/>
      <c r="F252" s="11" t="n"/>
      <c r="G252" s="12" t="n"/>
      <c r="H252" s="11" t="n"/>
      <c r="I252" s="11" t="n"/>
      <c r="J252" s="12" t="n"/>
      <c r="K252" s="11" t="n"/>
    </row>
    <row r="253">
      <c r="A253" s="10">
        <f>IF(B253="","",ROW()-5)</f>
        <v/>
      </c>
      <c r="B253" s="11" t="n"/>
      <c r="C253" s="11" t="n"/>
      <c r="D253" s="11" t="n"/>
      <c r="E253" s="11" t="n"/>
      <c r="F253" s="11" t="n"/>
      <c r="G253" s="12" t="n"/>
      <c r="H253" s="11" t="n"/>
      <c r="I253" s="11" t="n"/>
      <c r="J253" s="12" t="n"/>
      <c r="K253" s="11" t="n"/>
    </row>
    <row r="254">
      <c r="A254" s="10">
        <f>IF(B254="","",ROW()-5)</f>
        <v/>
      </c>
      <c r="B254" s="11" t="n"/>
      <c r="C254" s="11" t="n"/>
      <c r="D254" s="11" t="n"/>
      <c r="E254" s="11" t="n"/>
      <c r="F254" s="11" t="n"/>
      <c r="G254" s="12" t="n"/>
      <c r="H254" s="11" t="n"/>
      <c r="I254" s="11" t="n"/>
      <c r="J254" s="12" t="n"/>
      <c r="K254" s="11" t="n"/>
    </row>
    <row r="255">
      <c r="A255" s="10">
        <f>IF(B255="","",ROW()-5)</f>
        <v/>
      </c>
      <c r="B255" s="11" t="n"/>
      <c r="C255" s="11" t="n"/>
      <c r="D255" s="11" t="n"/>
      <c r="E255" s="11" t="n"/>
      <c r="F255" s="11" t="n"/>
      <c r="G255" s="12" t="n"/>
      <c r="H255" s="11" t="n"/>
      <c r="I255" s="11" t="n"/>
      <c r="J255" s="12" t="n"/>
      <c r="K255" s="11" t="n"/>
    </row>
    <row r="256">
      <c r="A256" s="10">
        <f>IF(B256="","",ROW()-5)</f>
        <v/>
      </c>
      <c r="B256" s="11" t="n"/>
      <c r="C256" s="11" t="n"/>
      <c r="D256" s="11" t="n"/>
      <c r="E256" s="11" t="n"/>
      <c r="F256" s="11" t="n"/>
      <c r="G256" s="12" t="n"/>
      <c r="H256" s="11" t="n"/>
      <c r="I256" s="11" t="n"/>
      <c r="J256" s="12" t="n"/>
      <c r="K256" s="11" t="n"/>
    </row>
    <row r="257">
      <c r="A257" s="10">
        <f>IF(B257="","",ROW()-5)</f>
        <v/>
      </c>
      <c r="B257" s="11" t="n"/>
      <c r="C257" s="11" t="n"/>
      <c r="D257" s="11" t="n"/>
      <c r="E257" s="11" t="n"/>
      <c r="F257" s="11" t="n"/>
      <c r="G257" s="12" t="n"/>
      <c r="H257" s="11" t="n"/>
      <c r="I257" s="11" t="n"/>
      <c r="J257" s="12" t="n"/>
      <c r="K257" s="11" t="n"/>
    </row>
    <row r="258">
      <c r="A258" s="10">
        <f>IF(B258="","",ROW()-5)</f>
        <v/>
      </c>
      <c r="B258" s="11" t="n"/>
      <c r="C258" s="11" t="n"/>
      <c r="D258" s="11" t="n"/>
      <c r="E258" s="11" t="n"/>
      <c r="F258" s="11" t="n"/>
      <c r="G258" s="12" t="n"/>
      <c r="H258" s="11" t="n"/>
      <c r="I258" s="11" t="n"/>
      <c r="J258" s="12" t="n"/>
      <c r="K258" s="11" t="n"/>
    </row>
    <row r="259">
      <c r="A259" s="10">
        <f>IF(B259="","",ROW()-5)</f>
        <v/>
      </c>
      <c r="B259" s="11" t="n"/>
      <c r="C259" s="11" t="n"/>
      <c r="D259" s="11" t="n"/>
      <c r="E259" s="11" t="n"/>
      <c r="F259" s="11" t="n"/>
      <c r="G259" s="12" t="n"/>
      <c r="H259" s="11" t="n"/>
      <c r="I259" s="11" t="n"/>
      <c r="J259" s="12" t="n"/>
      <c r="K259" s="11" t="n"/>
    </row>
    <row r="260">
      <c r="A260" s="10">
        <f>IF(B260="","",ROW()-5)</f>
        <v/>
      </c>
      <c r="B260" s="11" t="n"/>
      <c r="C260" s="11" t="n"/>
      <c r="D260" s="11" t="n"/>
      <c r="E260" s="11" t="n"/>
      <c r="F260" s="11" t="n"/>
      <c r="G260" s="12" t="n"/>
      <c r="H260" s="11" t="n"/>
      <c r="I260" s="11" t="n"/>
      <c r="J260" s="12" t="n"/>
      <c r="K260" s="11" t="n"/>
    </row>
    <row r="261">
      <c r="A261" s="10">
        <f>IF(B261="","",ROW()-5)</f>
        <v/>
      </c>
      <c r="B261" s="11" t="n"/>
      <c r="C261" s="11" t="n"/>
      <c r="D261" s="11" t="n"/>
      <c r="E261" s="11" t="n"/>
      <c r="F261" s="11" t="n"/>
      <c r="G261" s="12" t="n"/>
      <c r="H261" s="11" t="n"/>
      <c r="I261" s="11" t="n"/>
      <c r="J261" s="12" t="n"/>
      <c r="K261" s="11" t="n"/>
    </row>
    <row r="262">
      <c r="A262" s="10">
        <f>IF(B262="","",ROW()-5)</f>
        <v/>
      </c>
      <c r="B262" s="11" t="n"/>
      <c r="C262" s="11" t="n"/>
      <c r="D262" s="11" t="n"/>
      <c r="E262" s="11" t="n"/>
      <c r="F262" s="11" t="n"/>
      <c r="G262" s="12" t="n"/>
      <c r="H262" s="11" t="n"/>
      <c r="I262" s="11" t="n"/>
      <c r="J262" s="12" t="n"/>
      <c r="K262" s="11" t="n"/>
    </row>
    <row r="263">
      <c r="A263" s="10">
        <f>IF(B263="","",ROW()-5)</f>
        <v/>
      </c>
      <c r="B263" s="11" t="n"/>
      <c r="C263" s="11" t="n"/>
      <c r="D263" s="11" t="n"/>
      <c r="E263" s="11" t="n"/>
      <c r="F263" s="11" t="n"/>
      <c r="G263" s="12" t="n"/>
      <c r="H263" s="11" t="n"/>
      <c r="I263" s="11" t="n"/>
      <c r="J263" s="12" t="n"/>
      <c r="K263" s="11" t="n"/>
    </row>
    <row r="264">
      <c r="A264" s="10">
        <f>IF(B264="","",ROW()-5)</f>
        <v/>
      </c>
      <c r="B264" s="11" t="n"/>
      <c r="C264" s="11" t="n"/>
      <c r="D264" s="11" t="n"/>
      <c r="E264" s="11" t="n"/>
      <c r="F264" s="11" t="n"/>
      <c r="G264" s="12" t="n"/>
      <c r="H264" s="11" t="n"/>
      <c r="I264" s="11" t="n"/>
      <c r="J264" s="12" t="n"/>
      <c r="K264" s="11" t="n"/>
    </row>
    <row r="265">
      <c r="A265" s="10">
        <f>IF(B265="","",ROW()-5)</f>
        <v/>
      </c>
      <c r="B265" s="11" t="n"/>
      <c r="C265" s="11" t="n"/>
      <c r="D265" s="11" t="n"/>
      <c r="E265" s="11" t="n"/>
      <c r="F265" s="11" t="n"/>
      <c r="G265" s="12" t="n"/>
      <c r="H265" s="11" t="n"/>
      <c r="I265" s="11" t="n"/>
      <c r="J265" s="12" t="n"/>
      <c r="K265" s="11" t="n"/>
    </row>
    <row r="266">
      <c r="A266" s="10">
        <f>IF(B266="","",ROW()-5)</f>
        <v/>
      </c>
      <c r="B266" s="11" t="n"/>
      <c r="C266" s="11" t="n"/>
      <c r="D266" s="11" t="n"/>
      <c r="E266" s="11" t="n"/>
      <c r="F266" s="11" t="n"/>
      <c r="G266" s="12" t="n"/>
      <c r="H266" s="11" t="n"/>
      <c r="I266" s="11" t="n"/>
      <c r="J266" s="12" t="n"/>
      <c r="K266" s="11" t="n"/>
    </row>
    <row r="267">
      <c r="A267" s="10">
        <f>IF(B267="","",ROW()-5)</f>
        <v/>
      </c>
      <c r="B267" s="11" t="n"/>
      <c r="C267" s="11" t="n"/>
      <c r="D267" s="11" t="n"/>
      <c r="E267" s="11" t="n"/>
      <c r="F267" s="11" t="n"/>
      <c r="G267" s="12" t="n"/>
      <c r="H267" s="11" t="n"/>
      <c r="I267" s="11" t="n"/>
      <c r="J267" s="12" t="n"/>
      <c r="K267" s="11" t="n"/>
    </row>
    <row r="268">
      <c r="A268" s="10">
        <f>IF(B268="","",ROW()-5)</f>
        <v/>
      </c>
      <c r="B268" s="11" t="n"/>
      <c r="C268" s="11" t="n"/>
      <c r="D268" s="11" t="n"/>
      <c r="E268" s="11" t="n"/>
      <c r="F268" s="11" t="n"/>
      <c r="G268" s="12" t="n"/>
      <c r="H268" s="11" t="n"/>
      <c r="I268" s="11" t="n"/>
      <c r="J268" s="12" t="n"/>
      <c r="K268" s="11" t="n"/>
    </row>
    <row r="269">
      <c r="A269" s="10">
        <f>IF(B269="","",ROW()-5)</f>
        <v/>
      </c>
      <c r="B269" s="11" t="n"/>
      <c r="C269" s="11" t="n"/>
      <c r="D269" s="11" t="n"/>
      <c r="E269" s="11" t="n"/>
      <c r="F269" s="11" t="n"/>
      <c r="G269" s="12" t="n"/>
      <c r="H269" s="11" t="n"/>
      <c r="I269" s="11" t="n"/>
      <c r="J269" s="12" t="n"/>
      <c r="K269" s="11" t="n"/>
    </row>
    <row r="270">
      <c r="A270" s="10">
        <f>IF(B270="","",ROW()-5)</f>
        <v/>
      </c>
      <c r="B270" s="11" t="n"/>
      <c r="C270" s="11" t="n"/>
      <c r="D270" s="11" t="n"/>
      <c r="E270" s="11" t="n"/>
      <c r="F270" s="11" t="n"/>
      <c r="G270" s="12" t="n"/>
      <c r="H270" s="11" t="n"/>
      <c r="I270" s="11" t="n"/>
      <c r="J270" s="12" t="n"/>
      <c r="K270" s="11" t="n"/>
    </row>
    <row r="271">
      <c r="A271" s="10">
        <f>IF(B271="","",ROW()-5)</f>
        <v/>
      </c>
      <c r="B271" s="11" t="n"/>
      <c r="C271" s="11" t="n"/>
      <c r="D271" s="11" t="n"/>
      <c r="E271" s="11" t="n"/>
      <c r="F271" s="11" t="n"/>
      <c r="G271" s="12" t="n"/>
      <c r="H271" s="11" t="n"/>
      <c r="I271" s="11" t="n"/>
      <c r="J271" s="12" t="n"/>
      <c r="K271" s="11" t="n"/>
    </row>
    <row r="272">
      <c r="A272" s="10">
        <f>IF(B272="","",ROW()-5)</f>
        <v/>
      </c>
      <c r="B272" s="11" t="n"/>
      <c r="C272" s="11" t="n"/>
      <c r="D272" s="11" t="n"/>
      <c r="E272" s="11" t="n"/>
      <c r="F272" s="11" t="n"/>
      <c r="G272" s="12" t="n"/>
      <c r="H272" s="11" t="n"/>
      <c r="I272" s="11" t="n"/>
      <c r="J272" s="12" t="n"/>
      <c r="K272" s="11" t="n"/>
    </row>
    <row r="273">
      <c r="A273" s="10">
        <f>IF(B273="","",ROW()-5)</f>
        <v/>
      </c>
      <c r="B273" s="11" t="n"/>
      <c r="C273" s="11" t="n"/>
      <c r="D273" s="11" t="n"/>
      <c r="E273" s="11" t="n"/>
      <c r="F273" s="11" t="n"/>
      <c r="G273" s="12" t="n"/>
      <c r="H273" s="11" t="n"/>
      <c r="I273" s="11" t="n"/>
      <c r="J273" s="12" t="n"/>
      <c r="K273" s="11" t="n"/>
    </row>
    <row r="274">
      <c r="A274" s="10">
        <f>IF(B274="","",ROW()-5)</f>
        <v/>
      </c>
      <c r="B274" s="11" t="n"/>
      <c r="C274" s="11" t="n"/>
      <c r="D274" s="11" t="n"/>
      <c r="E274" s="11" t="n"/>
      <c r="F274" s="11" t="n"/>
      <c r="G274" s="12" t="n"/>
      <c r="H274" s="11" t="n"/>
      <c r="I274" s="11" t="n"/>
      <c r="J274" s="12" t="n"/>
      <c r="K274" s="11" t="n"/>
    </row>
    <row r="275">
      <c r="A275" s="10">
        <f>IF(B275="","",ROW()-5)</f>
        <v/>
      </c>
      <c r="B275" s="11" t="n"/>
      <c r="C275" s="11" t="n"/>
      <c r="D275" s="11" t="n"/>
      <c r="E275" s="11" t="n"/>
      <c r="F275" s="11" t="n"/>
      <c r="G275" s="12" t="n"/>
      <c r="H275" s="11" t="n"/>
      <c r="I275" s="11" t="n"/>
      <c r="J275" s="12" t="n"/>
      <c r="K275" s="11" t="n"/>
    </row>
    <row r="276">
      <c r="A276" s="10">
        <f>IF(B276="","",ROW()-5)</f>
        <v/>
      </c>
      <c r="B276" s="11" t="n"/>
      <c r="C276" s="11" t="n"/>
      <c r="D276" s="11" t="n"/>
      <c r="E276" s="11" t="n"/>
      <c r="F276" s="11" t="n"/>
      <c r="G276" s="12" t="n"/>
      <c r="H276" s="11" t="n"/>
      <c r="I276" s="11" t="n"/>
      <c r="J276" s="12" t="n"/>
      <c r="K276" s="11" t="n"/>
    </row>
    <row r="277">
      <c r="A277" s="10">
        <f>IF(B277="","",ROW()-5)</f>
        <v/>
      </c>
      <c r="B277" s="11" t="n"/>
      <c r="C277" s="11" t="n"/>
      <c r="D277" s="11" t="n"/>
      <c r="E277" s="11" t="n"/>
      <c r="F277" s="11" t="n"/>
      <c r="G277" s="12" t="n"/>
      <c r="H277" s="11" t="n"/>
      <c r="I277" s="11" t="n"/>
      <c r="J277" s="12" t="n"/>
      <c r="K277" s="11" t="n"/>
    </row>
    <row r="278">
      <c r="A278" s="10">
        <f>IF(B278="","",ROW()-5)</f>
        <v/>
      </c>
      <c r="B278" s="11" t="n"/>
      <c r="C278" s="11" t="n"/>
      <c r="D278" s="11" t="n"/>
      <c r="E278" s="11" t="n"/>
      <c r="F278" s="11" t="n"/>
      <c r="G278" s="12" t="n"/>
      <c r="H278" s="11" t="n"/>
      <c r="I278" s="11" t="n"/>
      <c r="J278" s="12" t="n"/>
      <c r="K278" s="11" t="n"/>
    </row>
    <row r="279">
      <c r="A279" s="10">
        <f>IF(B279="","",ROW()-5)</f>
        <v/>
      </c>
      <c r="B279" s="11" t="n"/>
      <c r="C279" s="11" t="n"/>
      <c r="D279" s="11" t="n"/>
      <c r="E279" s="11" t="n"/>
      <c r="F279" s="11" t="n"/>
      <c r="G279" s="12" t="n"/>
      <c r="H279" s="11" t="n"/>
      <c r="I279" s="11" t="n"/>
      <c r="J279" s="12" t="n"/>
      <c r="K279" s="11" t="n"/>
    </row>
    <row r="280">
      <c r="A280" s="10">
        <f>IF(B280="","",ROW()-5)</f>
        <v/>
      </c>
      <c r="B280" s="11" t="n"/>
      <c r="C280" s="11" t="n"/>
      <c r="D280" s="11" t="n"/>
      <c r="E280" s="11" t="n"/>
      <c r="F280" s="11" t="n"/>
      <c r="G280" s="12" t="n"/>
      <c r="H280" s="11" t="n"/>
      <c r="I280" s="11" t="n"/>
      <c r="J280" s="12" t="n"/>
      <c r="K280" s="11" t="n"/>
    </row>
    <row r="281">
      <c r="A281" s="10">
        <f>IF(B281="","",ROW()-5)</f>
        <v/>
      </c>
      <c r="B281" s="11" t="n"/>
      <c r="C281" s="11" t="n"/>
      <c r="D281" s="11" t="n"/>
      <c r="E281" s="11" t="n"/>
      <c r="F281" s="11" t="n"/>
      <c r="G281" s="12" t="n"/>
      <c r="H281" s="11" t="n"/>
      <c r="I281" s="11" t="n"/>
      <c r="J281" s="12" t="n"/>
      <c r="K281" s="11" t="n"/>
    </row>
    <row r="282">
      <c r="A282" s="10">
        <f>IF(B282="","",ROW()-5)</f>
        <v/>
      </c>
      <c r="B282" s="11" t="n"/>
      <c r="C282" s="11" t="n"/>
      <c r="D282" s="11" t="n"/>
      <c r="E282" s="11" t="n"/>
      <c r="F282" s="11" t="n"/>
      <c r="G282" s="12" t="n"/>
      <c r="H282" s="11" t="n"/>
      <c r="I282" s="11" t="n"/>
      <c r="J282" s="12" t="n"/>
      <c r="K282" s="11" t="n"/>
    </row>
    <row r="283">
      <c r="A283" s="10">
        <f>IF(B283="","",ROW()-5)</f>
        <v/>
      </c>
      <c r="B283" s="11" t="n"/>
      <c r="C283" s="11" t="n"/>
      <c r="D283" s="11" t="n"/>
      <c r="E283" s="11" t="n"/>
      <c r="F283" s="11" t="n"/>
      <c r="G283" s="12" t="n"/>
      <c r="H283" s="11" t="n"/>
      <c r="I283" s="11" t="n"/>
      <c r="J283" s="12" t="n"/>
      <c r="K283" s="11" t="n"/>
    </row>
    <row r="284">
      <c r="A284" s="10">
        <f>IF(B284="","",ROW()-5)</f>
        <v/>
      </c>
      <c r="B284" s="11" t="n"/>
      <c r="C284" s="11" t="n"/>
      <c r="D284" s="11" t="n"/>
      <c r="E284" s="11" t="n"/>
      <c r="F284" s="11" t="n"/>
      <c r="G284" s="12" t="n"/>
      <c r="H284" s="11" t="n"/>
      <c r="I284" s="11" t="n"/>
      <c r="J284" s="12" t="n"/>
      <c r="K284" s="11" t="n"/>
    </row>
    <row r="285">
      <c r="A285" s="10">
        <f>IF(B285="","",ROW()-5)</f>
        <v/>
      </c>
      <c r="B285" s="11" t="n"/>
      <c r="C285" s="11" t="n"/>
      <c r="D285" s="11" t="n"/>
      <c r="E285" s="11" t="n"/>
      <c r="F285" s="11" t="n"/>
      <c r="G285" s="12" t="n"/>
      <c r="H285" s="11" t="n"/>
      <c r="I285" s="11" t="n"/>
      <c r="J285" s="12" t="n"/>
      <c r="K285" s="11" t="n"/>
    </row>
    <row r="286">
      <c r="A286" s="10">
        <f>IF(B286="","",ROW()-5)</f>
        <v/>
      </c>
      <c r="B286" s="11" t="n"/>
      <c r="C286" s="11" t="n"/>
      <c r="D286" s="11" t="n"/>
      <c r="E286" s="11" t="n"/>
      <c r="F286" s="11" t="n"/>
      <c r="G286" s="12" t="n"/>
      <c r="H286" s="11" t="n"/>
      <c r="I286" s="11" t="n"/>
      <c r="J286" s="12" t="n"/>
      <c r="K286" s="11" t="n"/>
    </row>
    <row r="287">
      <c r="A287" s="10">
        <f>IF(B287="","",ROW()-5)</f>
        <v/>
      </c>
      <c r="B287" s="11" t="n"/>
      <c r="C287" s="11" t="n"/>
      <c r="D287" s="11" t="n"/>
      <c r="E287" s="11" t="n"/>
      <c r="F287" s="11" t="n"/>
      <c r="G287" s="12" t="n"/>
      <c r="H287" s="11" t="n"/>
      <c r="I287" s="11" t="n"/>
      <c r="J287" s="12" t="n"/>
      <c r="K287" s="11" t="n"/>
    </row>
    <row r="288">
      <c r="A288" s="10">
        <f>IF(B288="","",ROW()-5)</f>
        <v/>
      </c>
      <c r="B288" s="11" t="n"/>
      <c r="C288" s="11" t="n"/>
      <c r="D288" s="11" t="n"/>
      <c r="E288" s="11" t="n"/>
      <c r="F288" s="11" t="n"/>
      <c r="G288" s="12" t="n"/>
      <c r="H288" s="11" t="n"/>
      <c r="I288" s="11" t="n"/>
      <c r="J288" s="12" t="n"/>
      <c r="K288" s="11" t="n"/>
    </row>
    <row r="289">
      <c r="A289" s="10">
        <f>IF(B289="","",ROW()-5)</f>
        <v/>
      </c>
      <c r="B289" s="11" t="n"/>
      <c r="C289" s="11" t="n"/>
      <c r="D289" s="11" t="n"/>
      <c r="E289" s="11" t="n"/>
      <c r="F289" s="11" t="n"/>
      <c r="G289" s="12" t="n"/>
      <c r="H289" s="11" t="n"/>
      <c r="I289" s="11" t="n"/>
      <c r="J289" s="12" t="n"/>
      <c r="K289" s="11" t="n"/>
    </row>
    <row r="290">
      <c r="A290" s="10">
        <f>IF(B290="","",ROW()-5)</f>
        <v/>
      </c>
      <c r="B290" s="11" t="n"/>
      <c r="C290" s="11" t="n"/>
      <c r="D290" s="11" t="n"/>
      <c r="E290" s="11" t="n"/>
      <c r="F290" s="11" t="n"/>
      <c r="G290" s="12" t="n"/>
      <c r="H290" s="11" t="n"/>
      <c r="I290" s="11" t="n"/>
      <c r="J290" s="12" t="n"/>
      <c r="K290" s="11" t="n"/>
    </row>
    <row r="291">
      <c r="A291" s="10">
        <f>IF(B291="","",ROW()-5)</f>
        <v/>
      </c>
      <c r="B291" s="11" t="n"/>
      <c r="C291" s="11" t="n"/>
      <c r="D291" s="11" t="n"/>
      <c r="E291" s="11" t="n"/>
      <c r="F291" s="11" t="n"/>
      <c r="G291" s="12" t="n"/>
      <c r="H291" s="11" t="n"/>
      <c r="I291" s="11" t="n"/>
      <c r="J291" s="12" t="n"/>
      <c r="K291" s="11" t="n"/>
    </row>
    <row r="292">
      <c r="A292" s="10">
        <f>IF(B292="","",ROW()-5)</f>
        <v/>
      </c>
      <c r="B292" s="11" t="n"/>
      <c r="C292" s="11" t="n"/>
      <c r="D292" s="11" t="n"/>
      <c r="E292" s="11" t="n"/>
      <c r="F292" s="11" t="n"/>
      <c r="G292" s="12" t="n"/>
      <c r="H292" s="11" t="n"/>
      <c r="I292" s="11" t="n"/>
      <c r="J292" s="12" t="n"/>
      <c r="K292" s="11" t="n"/>
    </row>
    <row r="293">
      <c r="A293" s="10">
        <f>IF(B293="","",ROW()-5)</f>
        <v/>
      </c>
      <c r="B293" s="11" t="n"/>
      <c r="C293" s="11" t="n"/>
      <c r="D293" s="11" t="n"/>
      <c r="E293" s="11" t="n"/>
      <c r="F293" s="11" t="n"/>
      <c r="G293" s="12" t="n"/>
      <c r="H293" s="11" t="n"/>
      <c r="I293" s="11" t="n"/>
      <c r="J293" s="12" t="n"/>
      <c r="K293" s="11" t="n"/>
    </row>
    <row r="294">
      <c r="A294" s="10">
        <f>IF(B294="","",ROW()-5)</f>
        <v/>
      </c>
      <c r="B294" s="11" t="n"/>
      <c r="C294" s="11" t="n"/>
      <c r="D294" s="11" t="n"/>
      <c r="E294" s="11" t="n"/>
      <c r="F294" s="11" t="n"/>
      <c r="G294" s="12" t="n"/>
      <c r="H294" s="11" t="n"/>
      <c r="I294" s="11" t="n"/>
      <c r="J294" s="12" t="n"/>
      <c r="K294" s="11" t="n"/>
    </row>
    <row r="295">
      <c r="A295" s="10">
        <f>IF(B295="","",ROW()-5)</f>
        <v/>
      </c>
      <c r="B295" s="11" t="n"/>
      <c r="C295" s="11" t="n"/>
      <c r="D295" s="11" t="n"/>
      <c r="E295" s="11" t="n"/>
      <c r="F295" s="11" t="n"/>
      <c r="G295" s="12" t="n"/>
      <c r="H295" s="11" t="n"/>
      <c r="I295" s="11" t="n"/>
      <c r="J295" s="12" t="n"/>
      <c r="K295" s="11" t="n"/>
    </row>
    <row r="296">
      <c r="A296" s="10">
        <f>IF(B296="","",ROW()-5)</f>
        <v/>
      </c>
      <c r="B296" s="11" t="n"/>
      <c r="C296" s="11" t="n"/>
      <c r="D296" s="11" t="n"/>
      <c r="E296" s="11" t="n"/>
      <c r="F296" s="11" t="n"/>
      <c r="G296" s="12" t="n"/>
      <c r="H296" s="11" t="n"/>
      <c r="I296" s="11" t="n"/>
      <c r="J296" s="12" t="n"/>
      <c r="K296" s="11" t="n"/>
    </row>
    <row r="297">
      <c r="A297" s="10">
        <f>IF(B297="","",ROW()-5)</f>
        <v/>
      </c>
      <c r="B297" s="11" t="n"/>
      <c r="C297" s="11" t="n"/>
      <c r="D297" s="11" t="n"/>
      <c r="E297" s="11" t="n"/>
      <c r="F297" s="11" t="n"/>
      <c r="G297" s="12" t="n"/>
      <c r="H297" s="11" t="n"/>
      <c r="I297" s="11" t="n"/>
      <c r="J297" s="12" t="n"/>
      <c r="K297" s="11" t="n"/>
    </row>
    <row r="298">
      <c r="A298" s="10">
        <f>IF(B298="","",ROW()-5)</f>
        <v/>
      </c>
      <c r="B298" s="11" t="n"/>
      <c r="C298" s="11" t="n"/>
      <c r="D298" s="11" t="n"/>
      <c r="E298" s="11" t="n"/>
      <c r="F298" s="11" t="n"/>
      <c r="G298" s="12" t="n"/>
      <c r="H298" s="11" t="n"/>
      <c r="I298" s="11" t="n"/>
      <c r="J298" s="12" t="n"/>
      <c r="K298" s="11" t="n"/>
    </row>
    <row r="299">
      <c r="A299" s="10">
        <f>IF(B299="","",ROW()-5)</f>
        <v/>
      </c>
      <c r="B299" s="11" t="n"/>
      <c r="C299" s="11" t="n"/>
      <c r="D299" s="11" t="n"/>
      <c r="E299" s="11" t="n"/>
      <c r="F299" s="11" t="n"/>
      <c r="G299" s="12" t="n"/>
      <c r="H299" s="11" t="n"/>
      <c r="I299" s="11" t="n"/>
      <c r="J299" s="12" t="n"/>
      <c r="K299" s="11" t="n"/>
    </row>
    <row r="300">
      <c r="A300" s="10">
        <f>IF(B300="","",ROW()-5)</f>
        <v/>
      </c>
      <c r="B300" s="11" t="n"/>
      <c r="C300" s="11" t="n"/>
      <c r="D300" s="11" t="n"/>
      <c r="E300" s="11" t="n"/>
      <c r="F300" s="11" t="n"/>
      <c r="G300" s="12" t="n"/>
      <c r="H300" s="11" t="n"/>
      <c r="I300" s="11" t="n"/>
      <c r="J300" s="12" t="n"/>
      <c r="K300" s="11" t="n"/>
    </row>
    <row r="301">
      <c r="A301" s="10">
        <f>IF(B301="","",ROW()-5)</f>
        <v/>
      </c>
      <c r="B301" s="11" t="n"/>
      <c r="C301" s="11" t="n"/>
      <c r="D301" s="11" t="n"/>
      <c r="E301" s="11" t="n"/>
      <c r="F301" s="11" t="n"/>
      <c r="G301" s="12" t="n"/>
      <c r="H301" s="11" t="n"/>
      <c r="I301" s="11" t="n"/>
      <c r="J301" s="12" t="n"/>
      <c r="K301" s="11" t="n"/>
    </row>
    <row r="302">
      <c r="A302" s="10">
        <f>IF(B302="","",ROW()-5)</f>
        <v/>
      </c>
      <c r="B302" s="11" t="n"/>
      <c r="C302" s="11" t="n"/>
      <c r="D302" s="11" t="n"/>
      <c r="E302" s="11" t="n"/>
      <c r="F302" s="11" t="n"/>
      <c r="G302" s="12" t="n"/>
      <c r="H302" s="11" t="n"/>
      <c r="I302" s="11" t="n"/>
      <c r="J302" s="12" t="n"/>
      <c r="K302" s="11" t="n"/>
    </row>
    <row r="303">
      <c r="A303" s="10">
        <f>IF(B303="","",ROW()-5)</f>
        <v/>
      </c>
      <c r="B303" s="11" t="n"/>
      <c r="C303" s="11" t="n"/>
      <c r="D303" s="11" t="n"/>
      <c r="E303" s="11" t="n"/>
      <c r="F303" s="11" t="n"/>
      <c r="G303" s="12" t="n"/>
      <c r="H303" s="11" t="n"/>
      <c r="I303" s="11" t="n"/>
      <c r="J303" s="12" t="n"/>
      <c r="K303" s="11" t="n"/>
    </row>
    <row r="304">
      <c r="A304" s="10">
        <f>IF(B304="","",ROW()-5)</f>
        <v/>
      </c>
      <c r="B304" s="11" t="n"/>
      <c r="C304" s="11" t="n"/>
      <c r="D304" s="11" t="n"/>
      <c r="E304" s="11" t="n"/>
      <c r="F304" s="11" t="n"/>
      <c r="G304" s="12" t="n"/>
      <c r="H304" s="11" t="n"/>
      <c r="I304" s="11" t="n"/>
      <c r="J304" s="12" t="n"/>
      <c r="K304" s="11" t="n"/>
    </row>
    <row r="305">
      <c r="A305" s="10">
        <f>IF(B305="","",ROW()-5)</f>
        <v/>
      </c>
      <c r="B305" s="11" t="n"/>
      <c r="C305" s="11" t="n"/>
      <c r="D305" s="11" t="n"/>
      <c r="E305" s="11" t="n"/>
      <c r="F305" s="11" t="n"/>
      <c r="G305" s="12" t="n"/>
      <c r="H305" s="11" t="n"/>
      <c r="I305" s="11" t="n"/>
      <c r="J305" s="12" t="n"/>
      <c r="K305" s="11" t="n"/>
    </row>
    <row r="306">
      <c r="A306" s="10">
        <f>IF(B306="","",ROW()-5)</f>
        <v/>
      </c>
      <c r="B306" s="11" t="n"/>
      <c r="C306" s="11" t="n"/>
      <c r="D306" s="11" t="n"/>
      <c r="E306" s="11" t="n"/>
      <c r="F306" s="11" t="n"/>
      <c r="G306" s="12" t="n"/>
      <c r="H306" s="11" t="n"/>
      <c r="I306" s="11" t="n"/>
      <c r="J306" s="12" t="n"/>
      <c r="K306" s="11" t="n"/>
    </row>
    <row r="307">
      <c r="A307" s="10">
        <f>IF(B307="","",ROW()-5)</f>
        <v/>
      </c>
      <c r="B307" s="11" t="n"/>
      <c r="C307" s="11" t="n"/>
      <c r="D307" s="11" t="n"/>
      <c r="E307" s="11" t="n"/>
      <c r="F307" s="11" t="n"/>
      <c r="G307" s="12" t="n"/>
      <c r="H307" s="11" t="n"/>
      <c r="I307" s="11" t="n"/>
      <c r="J307" s="12" t="n"/>
      <c r="K307" s="11" t="n"/>
    </row>
    <row r="308">
      <c r="A308" s="10">
        <f>IF(B308="","",ROW()-5)</f>
        <v/>
      </c>
      <c r="B308" s="11" t="n"/>
      <c r="C308" s="11" t="n"/>
      <c r="D308" s="11" t="n"/>
      <c r="E308" s="11" t="n"/>
      <c r="F308" s="11" t="n"/>
      <c r="G308" s="12" t="n"/>
      <c r="H308" s="11" t="n"/>
      <c r="I308" s="11" t="n"/>
      <c r="J308" s="12" t="n"/>
      <c r="K308" s="11" t="n"/>
    </row>
    <row r="309">
      <c r="A309" s="10">
        <f>IF(B309="","",ROW()-5)</f>
        <v/>
      </c>
      <c r="B309" s="11" t="n"/>
      <c r="C309" s="11" t="n"/>
      <c r="D309" s="11" t="n"/>
      <c r="E309" s="11" t="n"/>
      <c r="F309" s="11" t="n"/>
      <c r="G309" s="12" t="n"/>
      <c r="H309" s="11" t="n"/>
      <c r="I309" s="11" t="n"/>
      <c r="J309" s="12" t="n"/>
      <c r="K309" s="11" t="n"/>
    </row>
    <row r="310">
      <c r="A310" s="10">
        <f>IF(B310="","",ROW()-5)</f>
        <v/>
      </c>
      <c r="B310" s="11" t="n"/>
      <c r="C310" s="11" t="n"/>
      <c r="D310" s="11" t="n"/>
      <c r="E310" s="11" t="n"/>
      <c r="F310" s="11" t="n"/>
      <c r="G310" s="12" t="n"/>
      <c r="H310" s="11" t="n"/>
      <c r="I310" s="11" t="n"/>
      <c r="J310" s="12" t="n"/>
      <c r="K310" s="11" t="n"/>
    </row>
    <row r="311">
      <c r="A311" s="10">
        <f>IF(B311="","",ROW()-5)</f>
        <v/>
      </c>
      <c r="B311" s="11" t="n"/>
      <c r="C311" s="11" t="n"/>
      <c r="D311" s="11" t="n"/>
      <c r="E311" s="11" t="n"/>
      <c r="F311" s="11" t="n"/>
      <c r="G311" s="12" t="n"/>
      <c r="H311" s="11" t="n"/>
      <c r="I311" s="11" t="n"/>
      <c r="J311" s="12" t="n"/>
      <c r="K311" s="11" t="n"/>
    </row>
    <row r="312">
      <c r="A312" s="10">
        <f>IF(B312="","",ROW()-5)</f>
        <v/>
      </c>
      <c r="B312" s="11" t="n"/>
      <c r="C312" s="11" t="n"/>
      <c r="D312" s="11" t="n"/>
      <c r="E312" s="11" t="n"/>
      <c r="F312" s="11" t="n"/>
      <c r="G312" s="12" t="n"/>
      <c r="H312" s="11" t="n"/>
      <c r="I312" s="11" t="n"/>
      <c r="J312" s="12" t="n"/>
      <c r="K312" s="11" t="n"/>
    </row>
    <row r="313">
      <c r="A313" s="10">
        <f>IF(B313="","",ROW()-5)</f>
        <v/>
      </c>
      <c r="B313" s="11" t="n"/>
      <c r="C313" s="11" t="n"/>
      <c r="D313" s="11" t="n"/>
      <c r="E313" s="11" t="n"/>
      <c r="F313" s="11" t="n"/>
      <c r="G313" s="12" t="n"/>
      <c r="H313" s="11" t="n"/>
      <c r="I313" s="11" t="n"/>
      <c r="J313" s="12" t="n"/>
      <c r="K313" s="11" t="n"/>
    </row>
    <row r="314">
      <c r="A314" s="10">
        <f>IF(B314="","",ROW()-5)</f>
        <v/>
      </c>
      <c r="B314" s="11" t="n"/>
      <c r="C314" s="11" t="n"/>
      <c r="D314" s="11" t="n"/>
      <c r="E314" s="11" t="n"/>
      <c r="F314" s="11" t="n"/>
      <c r="G314" s="12" t="n"/>
      <c r="H314" s="11" t="n"/>
      <c r="I314" s="11" t="n"/>
      <c r="J314" s="12" t="n"/>
      <c r="K314" s="11" t="n"/>
    </row>
    <row r="315">
      <c r="A315" s="10">
        <f>IF(B315="","",ROW()-5)</f>
        <v/>
      </c>
      <c r="B315" s="11" t="n"/>
      <c r="C315" s="11" t="n"/>
      <c r="D315" s="11" t="n"/>
      <c r="E315" s="11" t="n"/>
      <c r="F315" s="11" t="n"/>
      <c r="G315" s="12" t="n"/>
      <c r="H315" s="11" t="n"/>
      <c r="I315" s="11" t="n"/>
      <c r="J315" s="12" t="n"/>
      <c r="K315" s="11" t="n"/>
    </row>
    <row r="316">
      <c r="A316" s="10">
        <f>IF(B316="","",ROW()-5)</f>
        <v/>
      </c>
      <c r="B316" s="11" t="n"/>
      <c r="C316" s="11" t="n"/>
      <c r="D316" s="11" t="n"/>
      <c r="E316" s="11" t="n"/>
      <c r="F316" s="11" t="n"/>
      <c r="G316" s="12" t="n"/>
      <c r="H316" s="11" t="n"/>
      <c r="I316" s="11" t="n"/>
      <c r="J316" s="12" t="n"/>
      <c r="K316" s="11" t="n"/>
    </row>
    <row r="317">
      <c r="A317" s="10">
        <f>IF(B317="","",ROW()-5)</f>
        <v/>
      </c>
      <c r="B317" s="11" t="n"/>
      <c r="C317" s="11" t="n"/>
      <c r="D317" s="11" t="n"/>
      <c r="E317" s="11" t="n"/>
      <c r="F317" s="11" t="n"/>
      <c r="G317" s="12" t="n"/>
      <c r="H317" s="11" t="n"/>
      <c r="I317" s="11" t="n"/>
      <c r="J317" s="12" t="n"/>
      <c r="K317" s="11" t="n"/>
    </row>
    <row r="318">
      <c r="A318" s="10">
        <f>IF(B318="","",ROW()-5)</f>
        <v/>
      </c>
      <c r="B318" s="11" t="n"/>
      <c r="C318" s="11" t="n"/>
      <c r="D318" s="11" t="n"/>
      <c r="E318" s="11" t="n"/>
      <c r="F318" s="11" t="n"/>
      <c r="G318" s="12" t="n"/>
      <c r="H318" s="11" t="n"/>
      <c r="I318" s="11" t="n"/>
      <c r="J318" s="12" t="n"/>
      <c r="K318" s="11" t="n"/>
    </row>
    <row r="319">
      <c r="A319" s="10">
        <f>IF(B319="","",ROW()-5)</f>
        <v/>
      </c>
      <c r="B319" s="11" t="n"/>
      <c r="C319" s="11" t="n"/>
      <c r="D319" s="11" t="n"/>
      <c r="E319" s="11" t="n"/>
      <c r="F319" s="11" t="n"/>
      <c r="G319" s="12" t="n"/>
      <c r="H319" s="11" t="n"/>
      <c r="I319" s="11" t="n"/>
      <c r="J319" s="12" t="n"/>
      <c r="K319" s="11" t="n"/>
    </row>
    <row r="320">
      <c r="A320" s="10">
        <f>IF(B320="","",ROW()-5)</f>
        <v/>
      </c>
      <c r="B320" s="11" t="n"/>
      <c r="C320" s="11" t="n"/>
      <c r="D320" s="11" t="n"/>
      <c r="E320" s="11" t="n"/>
      <c r="F320" s="11" t="n"/>
      <c r="G320" s="12" t="n"/>
      <c r="H320" s="11" t="n"/>
      <c r="I320" s="11" t="n"/>
      <c r="J320" s="12" t="n"/>
      <c r="K320" s="11" t="n"/>
    </row>
    <row r="321">
      <c r="A321" s="10">
        <f>IF(B321="","",ROW()-5)</f>
        <v/>
      </c>
      <c r="B321" s="11" t="n"/>
      <c r="C321" s="11" t="n"/>
      <c r="D321" s="11" t="n"/>
      <c r="E321" s="11" t="n"/>
      <c r="F321" s="11" t="n"/>
      <c r="G321" s="12" t="n"/>
      <c r="H321" s="11" t="n"/>
      <c r="I321" s="11" t="n"/>
      <c r="J321" s="12" t="n"/>
      <c r="K321" s="11" t="n"/>
    </row>
    <row r="322">
      <c r="A322" s="10">
        <f>IF(B322="","",ROW()-5)</f>
        <v/>
      </c>
      <c r="B322" s="11" t="n"/>
      <c r="C322" s="11" t="n"/>
      <c r="D322" s="11" t="n"/>
      <c r="E322" s="11" t="n"/>
      <c r="F322" s="11" t="n"/>
      <c r="G322" s="12" t="n"/>
      <c r="H322" s="11" t="n"/>
      <c r="I322" s="11" t="n"/>
      <c r="J322" s="12" t="n"/>
      <c r="K322" s="11" t="n"/>
    </row>
    <row r="323">
      <c r="A323" s="10">
        <f>IF(B323="","",ROW()-5)</f>
        <v/>
      </c>
      <c r="B323" s="11" t="n"/>
      <c r="C323" s="11" t="n"/>
      <c r="D323" s="11" t="n"/>
      <c r="E323" s="11" t="n"/>
      <c r="F323" s="11" t="n"/>
      <c r="G323" s="12" t="n"/>
      <c r="H323" s="11" t="n"/>
      <c r="I323" s="11" t="n"/>
      <c r="J323" s="12" t="n"/>
      <c r="K323" s="11" t="n"/>
    </row>
    <row r="324">
      <c r="A324" s="10">
        <f>IF(B324="","",ROW()-5)</f>
        <v/>
      </c>
      <c r="B324" s="11" t="n"/>
      <c r="C324" s="11" t="n"/>
      <c r="D324" s="11" t="n"/>
      <c r="E324" s="11" t="n"/>
      <c r="F324" s="11" t="n"/>
      <c r="G324" s="12" t="n"/>
      <c r="H324" s="11" t="n"/>
      <c r="I324" s="11" t="n"/>
      <c r="J324" s="12" t="n"/>
      <c r="K324" s="11" t="n"/>
    </row>
    <row r="325">
      <c r="A325" s="10">
        <f>IF(B325="","",ROW()-5)</f>
        <v/>
      </c>
      <c r="B325" s="11" t="n"/>
      <c r="C325" s="11" t="n"/>
      <c r="D325" s="11" t="n"/>
      <c r="E325" s="11" t="n"/>
      <c r="F325" s="11" t="n"/>
      <c r="G325" s="12" t="n"/>
      <c r="H325" s="11" t="n"/>
      <c r="I325" s="11" t="n"/>
      <c r="J325" s="12" t="n"/>
      <c r="K325" s="11" t="n"/>
    </row>
    <row r="326">
      <c r="A326" s="10">
        <f>IF(B326="","",ROW()-5)</f>
        <v/>
      </c>
      <c r="B326" s="11" t="n"/>
      <c r="C326" s="11" t="n"/>
      <c r="D326" s="11" t="n"/>
      <c r="E326" s="11" t="n"/>
      <c r="F326" s="11" t="n"/>
      <c r="G326" s="12" t="n"/>
      <c r="H326" s="11" t="n"/>
      <c r="I326" s="11" t="n"/>
      <c r="J326" s="12" t="n"/>
      <c r="K326" s="11" t="n"/>
    </row>
    <row r="327">
      <c r="A327" s="10">
        <f>IF(B327="","",ROW()-5)</f>
        <v/>
      </c>
      <c r="B327" s="11" t="n"/>
      <c r="C327" s="11" t="n"/>
      <c r="D327" s="11" t="n"/>
      <c r="E327" s="11" t="n"/>
      <c r="F327" s="11" t="n"/>
      <c r="G327" s="12" t="n"/>
      <c r="H327" s="11" t="n"/>
      <c r="I327" s="11" t="n"/>
      <c r="J327" s="12" t="n"/>
      <c r="K327" s="11" t="n"/>
    </row>
    <row r="328">
      <c r="A328" s="10">
        <f>IF(B328="","",ROW()-5)</f>
        <v/>
      </c>
      <c r="B328" s="11" t="n"/>
      <c r="C328" s="11" t="n"/>
      <c r="D328" s="11" t="n"/>
      <c r="E328" s="11" t="n"/>
      <c r="F328" s="11" t="n"/>
      <c r="G328" s="12" t="n"/>
      <c r="H328" s="11" t="n"/>
      <c r="I328" s="11" t="n"/>
      <c r="J328" s="12" t="n"/>
      <c r="K328" s="11" t="n"/>
    </row>
    <row r="329">
      <c r="A329" s="10">
        <f>IF(B329="","",ROW()-5)</f>
        <v/>
      </c>
      <c r="B329" s="11" t="n"/>
      <c r="C329" s="11" t="n"/>
      <c r="D329" s="11" t="n"/>
      <c r="E329" s="11" t="n"/>
      <c r="F329" s="11" t="n"/>
      <c r="G329" s="12" t="n"/>
      <c r="H329" s="11" t="n"/>
      <c r="I329" s="11" t="n"/>
      <c r="J329" s="12" t="n"/>
      <c r="K329" s="11" t="n"/>
    </row>
    <row r="330">
      <c r="A330" s="10">
        <f>IF(B330="","",ROW()-5)</f>
        <v/>
      </c>
      <c r="B330" s="11" t="n"/>
      <c r="C330" s="11" t="n"/>
      <c r="D330" s="11" t="n"/>
      <c r="E330" s="11" t="n"/>
      <c r="F330" s="11" t="n"/>
      <c r="G330" s="12" t="n"/>
      <c r="H330" s="11" t="n"/>
      <c r="I330" s="11" t="n"/>
      <c r="J330" s="12" t="n"/>
      <c r="K330" s="11" t="n"/>
    </row>
    <row r="331">
      <c r="A331" s="10">
        <f>IF(B331="","",ROW()-5)</f>
        <v/>
      </c>
      <c r="B331" s="11" t="n"/>
      <c r="C331" s="11" t="n"/>
      <c r="D331" s="11" t="n"/>
      <c r="E331" s="11" t="n"/>
      <c r="F331" s="11" t="n"/>
      <c r="G331" s="12" t="n"/>
      <c r="H331" s="11" t="n"/>
      <c r="I331" s="11" t="n"/>
      <c r="J331" s="12" t="n"/>
      <c r="K331" s="11" t="n"/>
    </row>
    <row r="332">
      <c r="A332" s="10">
        <f>IF(B332="","",ROW()-5)</f>
        <v/>
      </c>
      <c r="B332" s="11" t="n"/>
      <c r="C332" s="11" t="n"/>
      <c r="D332" s="11" t="n"/>
      <c r="E332" s="11" t="n"/>
      <c r="F332" s="11" t="n"/>
      <c r="G332" s="12" t="n"/>
      <c r="H332" s="11" t="n"/>
      <c r="I332" s="11" t="n"/>
      <c r="J332" s="12" t="n"/>
      <c r="K332" s="11" t="n"/>
    </row>
    <row r="333">
      <c r="A333" s="10">
        <f>IF(B333="","",ROW()-5)</f>
        <v/>
      </c>
      <c r="B333" s="11" t="n"/>
      <c r="C333" s="11" t="n"/>
      <c r="D333" s="11" t="n"/>
      <c r="E333" s="11" t="n"/>
      <c r="F333" s="11" t="n"/>
      <c r="G333" s="12" t="n"/>
      <c r="H333" s="11" t="n"/>
      <c r="I333" s="11" t="n"/>
      <c r="J333" s="12" t="n"/>
      <c r="K333" s="11" t="n"/>
    </row>
    <row r="334">
      <c r="A334" s="10">
        <f>IF(B334="","",ROW()-5)</f>
        <v/>
      </c>
      <c r="B334" s="11" t="n"/>
      <c r="C334" s="11" t="n"/>
      <c r="D334" s="11" t="n"/>
      <c r="E334" s="11" t="n"/>
      <c r="F334" s="11" t="n"/>
      <c r="G334" s="12" t="n"/>
      <c r="H334" s="11" t="n"/>
      <c r="I334" s="11" t="n"/>
      <c r="J334" s="12" t="n"/>
      <c r="K334" s="11" t="n"/>
    </row>
    <row r="335">
      <c r="A335" s="10">
        <f>IF(B335="","",ROW()-5)</f>
        <v/>
      </c>
      <c r="B335" s="11" t="n"/>
      <c r="C335" s="11" t="n"/>
      <c r="D335" s="11" t="n"/>
      <c r="E335" s="11" t="n"/>
      <c r="F335" s="11" t="n"/>
      <c r="G335" s="12" t="n"/>
      <c r="H335" s="11" t="n"/>
      <c r="I335" s="11" t="n"/>
      <c r="J335" s="12" t="n"/>
      <c r="K335" s="11" t="n"/>
    </row>
    <row r="336">
      <c r="A336" s="10">
        <f>IF(B336="","",ROW()-5)</f>
        <v/>
      </c>
      <c r="B336" s="11" t="n"/>
      <c r="C336" s="11" t="n"/>
      <c r="D336" s="11" t="n"/>
      <c r="E336" s="11" t="n"/>
      <c r="F336" s="11" t="n"/>
      <c r="G336" s="12" t="n"/>
      <c r="H336" s="11" t="n"/>
      <c r="I336" s="11" t="n"/>
      <c r="J336" s="12" t="n"/>
      <c r="K336" s="11" t="n"/>
    </row>
    <row r="337">
      <c r="A337" s="10">
        <f>IF(B337="","",ROW()-5)</f>
        <v/>
      </c>
      <c r="B337" s="11" t="n"/>
      <c r="C337" s="11" t="n"/>
      <c r="D337" s="11" t="n"/>
      <c r="E337" s="11" t="n"/>
      <c r="F337" s="11" t="n"/>
      <c r="G337" s="12" t="n"/>
      <c r="H337" s="11" t="n"/>
      <c r="I337" s="11" t="n"/>
      <c r="J337" s="12" t="n"/>
      <c r="K337" s="11" t="n"/>
    </row>
    <row r="338">
      <c r="A338" s="10">
        <f>IF(B338="","",ROW()-5)</f>
        <v/>
      </c>
      <c r="B338" s="11" t="n"/>
      <c r="C338" s="11" t="n"/>
      <c r="D338" s="11" t="n"/>
      <c r="E338" s="11" t="n"/>
      <c r="F338" s="11" t="n"/>
      <c r="G338" s="12" t="n"/>
      <c r="H338" s="11" t="n"/>
      <c r="I338" s="11" t="n"/>
      <c r="J338" s="12" t="n"/>
      <c r="K338" s="11" t="n"/>
    </row>
    <row r="339">
      <c r="A339" s="10">
        <f>IF(B339="","",ROW()-5)</f>
        <v/>
      </c>
      <c r="B339" s="11" t="n"/>
      <c r="C339" s="11" t="n"/>
      <c r="D339" s="11" t="n"/>
      <c r="E339" s="11" t="n"/>
      <c r="F339" s="11" t="n"/>
      <c r="G339" s="12" t="n"/>
      <c r="H339" s="11" t="n"/>
      <c r="I339" s="11" t="n"/>
      <c r="J339" s="12" t="n"/>
      <c r="K339" s="11" t="n"/>
    </row>
    <row r="340">
      <c r="A340" s="10">
        <f>IF(B340="","",ROW()-5)</f>
        <v/>
      </c>
      <c r="B340" s="11" t="n"/>
      <c r="C340" s="11" t="n"/>
      <c r="D340" s="11" t="n"/>
      <c r="E340" s="11" t="n"/>
      <c r="F340" s="11" t="n"/>
      <c r="G340" s="12" t="n"/>
      <c r="H340" s="11" t="n"/>
      <c r="I340" s="11" t="n"/>
      <c r="J340" s="12" t="n"/>
      <c r="K340" s="11" t="n"/>
    </row>
    <row r="341">
      <c r="A341" s="10">
        <f>IF(B341="","",ROW()-5)</f>
        <v/>
      </c>
      <c r="B341" s="11" t="n"/>
      <c r="C341" s="11" t="n"/>
      <c r="D341" s="11" t="n"/>
      <c r="E341" s="11" t="n"/>
      <c r="F341" s="11" t="n"/>
      <c r="G341" s="12" t="n"/>
      <c r="H341" s="11" t="n"/>
      <c r="I341" s="11" t="n"/>
      <c r="J341" s="12" t="n"/>
      <c r="K341" s="11" t="n"/>
    </row>
    <row r="342">
      <c r="A342" s="10">
        <f>IF(B342="","",ROW()-5)</f>
        <v/>
      </c>
      <c r="B342" s="11" t="n"/>
      <c r="C342" s="11" t="n"/>
      <c r="D342" s="11" t="n"/>
      <c r="E342" s="11" t="n"/>
      <c r="F342" s="11" t="n"/>
      <c r="G342" s="12" t="n"/>
      <c r="H342" s="11" t="n"/>
      <c r="I342" s="11" t="n"/>
      <c r="J342" s="12" t="n"/>
      <c r="K342" s="11" t="n"/>
    </row>
    <row r="343">
      <c r="A343" s="10">
        <f>IF(B343="","",ROW()-5)</f>
        <v/>
      </c>
      <c r="B343" s="11" t="n"/>
      <c r="C343" s="11" t="n"/>
      <c r="D343" s="11" t="n"/>
      <c r="E343" s="11" t="n"/>
      <c r="F343" s="11" t="n"/>
      <c r="G343" s="12" t="n"/>
      <c r="H343" s="11" t="n"/>
      <c r="I343" s="11" t="n"/>
      <c r="J343" s="12" t="n"/>
      <c r="K343" s="11" t="n"/>
    </row>
    <row r="344">
      <c r="A344" s="10">
        <f>IF(B344="","",ROW()-5)</f>
        <v/>
      </c>
      <c r="B344" s="11" t="n"/>
      <c r="C344" s="11" t="n"/>
      <c r="D344" s="11" t="n"/>
      <c r="E344" s="11" t="n"/>
      <c r="F344" s="11" t="n"/>
      <c r="G344" s="12" t="n"/>
      <c r="H344" s="11" t="n"/>
      <c r="I344" s="11" t="n"/>
      <c r="J344" s="12" t="n"/>
      <c r="K344" s="11" t="n"/>
    </row>
    <row r="345">
      <c r="A345" s="10">
        <f>IF(B345="","",ROW()-5)</f>
        <v/>
      </c>
      <c r="B345" s="11" t="n"/>
      <c r="C345" s="11" t="n"/>
      <c r="D345" s="11" t="n"/>
      <c r="E345" s="11" t="n"/>
      <c r="F345" s="11" t="n"/>
      <c r="G345" s="12" t="n"/>
      <c r="H345" s="11" t="n"/>
      <c r="I345" s="11" t="n"/>
      <c r="J345" s="12" t="n"/>
      <c r="K345" s="11" t="n"/>
    </row>
  </sheetData>
  <autoFilter ref="A5:K3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2026-08-15T10:03:30Z</dcterms:created>
  <dcterms:modified xmlns:dcterms="http://purl.org/dc/terms/" xmlns:xsi="http://www.w3.org/2001/XMLSchema-instance" xsi:type="dcterms:W3CDTF">2026-10-23T08:00:55Z</dcterms:modified>
</cp:coreProperties>
</file>