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Le nom de l'acheteur pour chacune des sept ventes. Le reste est complet : espèces, main propre, dates du 09 et du 10/08/2026.</t>
        </is>
      </c>
    </row>
    <row r="31">
      <c r="A31" s="3" t="inlineStr">
        <is>
          <t>Plus aucune ligne jaune</t>
        </is>
      </c>
      <c r="B31" s="4" t="inlineStr">
        <is>
          <t>Tous les achats ont leur facture. Bordereau ERA n°507148 réglé en deux fois : 59,60 € le 28/07 et 24,00 € le 03/08/2026.</t>
        </is>
      </c>
    </row>
    <row r="32">
      <c r="A32" s="3" t="inlineStr">
        <is>
          <t>Défauts déclarés</t>
        </is>
      </c>
      <c r="B32" s="4" t="inlineStr">
        <is>
          <t>Deux pompes Robby portent un défaut mentionné au bordereau : socle cassé sur la ligne 122, mode manuel hors service sur la ligne 131. Le défaut se recopie dans l'annonce — un défaut caché se retourne contre le vendeur professionnel.</t>
        </is>
      </c>
    </row>
    <row r="33">
      <c r="A33" s="3" t="inlineStr">
        <is>
          <t>Import du Japon</t>
        </is>
      </c>
      <c r="B33" s="4" t="inlineStr">
        <is>
          <t>La facture Meccha Japan #FA429713 ne porte aucune TVA. Si La Poste a réclamé la TVA à 20 % et des frais de dossier à la livraison, ce montant s'ajoute au coût d'achat : le noter en ligne séparée.</t>
        </is>
      </c>
    </row>
    <row r="35">
      <c r="A35" s="2" t="inlineStr">
        <is>
          <t>OÙ VÉRIFIER</t>
        </is>
      </c>
    </row>
    <row r="36">
      <c r="A36" s="3" t="inlineStr">
        <is>
          <t>URSSAF</t>
        </is>
      </c>
      <c r="B36" s="4" t="inlineStr">
        <is>
          <t>autoentrepreneur.urssaf.fr · téléphone 3698</t>
        </is>
      </c>
    </row>
    <row r="37">
      <c r="A37" s="3" t="inlineStr">
        <is>
          <t>Obligations du commerçant</t>
        </is>
      </c>
      <c r="B37" s="4" t="inlineStr">
        <is>
          <t>entreprendre.service-public.fr</t>
        </is>
      </c>
    </row>
    <row r="38">
      <c r="A38" s="3" t="inlineStr">
        <is>
          <t>CGV et droit de la consommation</t>
        </is>
      </c>
      <c r="B38" s="4" t="inlineStr">
        <is>
          <t>DGCCRF — economie.gouv.fr/dgccrf</t>
        </is>
      </c>
    </row>
    <row r="39">
      <c r="A39" s="3" t="inlineStr">
        <is>
          <t>Conseil gratuit</t>
        </is>
      </c>
      <c r="B39"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1" t="inlineStr">
        <is>
          <t>Espèces</t>
        </is>
      </c>
      <c r="G7" s="11" t="inlineStr">
        <is>
          <t>Main propre</t>
        </is>
      </c>
      <c r="H7" s="11" t="inlineStr">
        <is>
          <t>Achat : FB2026-43716 lot n°103</t>
        </is>
      </c>
    </row>
    <row r="8">
      <c r="A8" s="10">
        <f>IF(B8="","",ROW()-5)</f>
        <v/>
      </c>
      <c r="B8" s="11" t="inlineStr">
        <is>
          <t>09/08/2026</t>
        </is>
      </c>
      <c r="C8" s="12" t="inlineStr"/>
      <c r="D8" s="11" t="inlineStr">
        <is>
          <t>Sac demi-lune KARL LAGERFELD JEANS</t>
        </is>
      </c>
      <c r="E8" s="13" t="n">
        <v>70</v>
      </c>
      <c r="F8" s="11" t="inlineStr">
        <is>
          <t>Espèces</t>
        </is>
      </c>
      <c r="G8" s="11" t="inlineStr">
        <is>
          <t>Main propre</t>
        </is>
      </c>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1" t="inlineStr">
        <is>
          <t>Espèces</t>
        </is>
      </c>
      <c r="G9" s="11" t="inlineStr">
        <is>
          <t>Main propre</t>
        </is>
      </c>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1" t="inlineStr">
        <is>
          <t>Espèces</t>
        </is>
      </c>
      <c r="G10" s="11" t="inlineStr">
        <is>
          <t>Main propre</t>
        </is>
      </c>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1" t="inlineStr">
        <is>
          <t>Espèces</t>
        </is>
      </c>
      <c r="G11" s="11" t="inlineStr">
        <is>
          <t>Main propre</t>
        </is>
      </c>
      <c r="H11" s="11" t="inlineStr">
        <is>
          <t>Achat : FB2026-43717 lot n°168</t>
        </is>
      </c>
      <c r="J11" s="3" t="inlineStr">
        <is>
          <t>À BASCULER dans le registre le jour du virement, pas avant.</t>
        </is>
      </c>
    </row>
    <row r="12">
      <c r="A12" s="10">
        <f>IF(B12="","",ROW()-5)</f>
        <v/>
      </c>
      <c r="B12" s="11" t="inlineStr">
        <is>
          <t>10/08/2026</t>
        </is>
      </c>
      <c r="C12" s="12" t="inlineStr"/>
      <c r="D12" s="11" t="inlineStr">
        <is>
          <t>HAVAIANAS Slim — 2 paires à 14 €</t>
        </is>
      </c>
      <c r="E12" s="13" t="n">
        <v>28</v>
      </c>
      <c r="F12" s="11" t="inlineStr">
        <is>
          <t>Espèces</t>
        </is>
      </c>
      <c r="G12" s="11" t="inlineStr">
        <is>
          <t>Main propre</t>
        </is>
      </c>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c r="J17" s="5" t="inlineStr">
        <is>
          <t>Les 493 € encaissés relèvent du 3e trimestre 2026 — déclaration avant le 31 octobre.</t>
        </is>
      </c>
    </row>
    <row r="18">
      <c r="A18" s="10">
        <f>IF(B18="","",ROW()-5)</f>
        <v/>
      </c>
      <c r="B18" s="11" t="n"/>
      <c r="C18" s="11" t="n"/>
      <c r="D18" s="11" t="n"/>
      <c r="E18" s="13" t="n"/>
      <c r="F18" s="11" t="n"/>
      <c r="G18" s="11" t="n"/>
      <c r="H18" s="11" t="n"/>
    </row>
    <row r="19">
      <c r="A19" s="10">
        <f>IF(B19="","",ROW()-5)</f>
        <v/>
      </c>
      <c r="B19" s="11" t="n"/>
      <c r="C19" s="11" t="n"/>
      <c r="D19" s="11" t="n"/>
      <c r="E19" s="13" t="n"/>
      <c r="F19" s="11" t="n"/>
      <c r="G19" s="11" t="n"/>
      <c r="H19" s="11" t="n"/>
      <c r="J19" s="2" t="inlineStr">
        <is>
          <t>VENTES EN ESPÈCES — CE QU'IL FAUT GARDER</t>
        </is>
      </c>
    </row>
    <row r="20">
      <c r="A20" s="10">
        <f>IF(B20="","",ROW()-5)</f>
        <v/>
      </c>
      <c r="B20" s="11" t="n"/>
      <c r="C20" s="11" t="n"/>
      <c r="D20" s="11" t="n"/>
      <c r="E20" s="13" t="n"/>
      <c r="F20" s="11" t="n"/>
      <c r="G20" s="11" t="n"/>
      <c r="H20" s="11" t="n"/>
      <c r="J20" s="5" t="inlineStr">
        <is>
          <t>Légal sans limite entre un professionnel et un particulier résidant en France jusqu'à 1 000 €</t>
        </is>
      </c>
    </row>
    <row r="21">
      <c r="A21" s="10">
        <f>IF(B21="","",ROW()-5)</f>
        <v/>
      </c>
      <c r="B21" s="11" t="n"/>
      <c r="C21" s="11" t="n"/>
      <c r="D21" s="11" t="n"/>
      <c r="E21" s="13" t="n"/>
      <c r="F21" s="11" t="n"/>
      <c r="G21" s="11" t="n"/>
      <c r="H21" s="11" t="n"/>
      <c r="J21" s="5" t="inlineStr">
        <is>
          <t>par transaction (art. L112-6 du code monétaire et financier). Toutes les ventes sont loin du seuil.</t>
        </is>
      </c>
    </row>
    <row r="22">
      <c r="A22" s="10">
        <f>IF(B22="","",ROW()-5)</f>
        <v/>
      </c>
      <c r="B22" s="11" t="n"/>
      <c r="C22" s="11" t="n"/>
      <c r="D22" s="11" t="n"/>
      <c r="E22" s="13" t="n"/>
      <c r="F22" s="11" t="n"/>
      <c r="G22" s="11" t="n"/>
      <c r="H22" s="11" t="n"/>
      <c r="J22" s="5" t="inlineStr"/>
    </row>
    <row r="23">
      <c r="A23" s="10">
        <f>IF(B23="","",ROW()-5)</f>
        <v/>
      </c>
      <c r="B23" s="11" t="n"/>
      <c r="C23" s="11" t="n"/>
      <c r="D23" s="11" t="n"/>
      <c r="E23" s="13" t="n"/>
      <c r="F23" s="11" t="n"/>
      <c r="G23" s="11" t="n"/>
      <c r="H23" s="11" t="n"/>
      <c r="J23" s="5" t="inlineStr">
        <is>
          <t>La preuve d'une vente en espèces, c'est le registre plus le dépôt bancaire. Trois réflexes :</t>
        </is>
      </c>
    </row>
    <row r="24">
      <c r="A24" s="10">
        <f>IF(B24="","",ROW()-5)</f>
        <v/>
      </c>
      <c r="B24" s="11" t="n"/>
      <c r="C24" s="11" t="n"/>
      <c r="D24" s="11" t="n"/>
      <c r="E24" s="13" t="n"/>
      <c r="F24" s="11" t="n"/>
      <c r="G24" s="11" t="n"/>
      <c r="H24" s="11" t="n"/>
      <c r="J24" s="5" t="inlineStr">
        <is>
          <t xml:space="preserve">  1. Une note de vente par transaction — date, article, prix, nom de l'acheteur. Un carnet suffit.</t>
        </is>
      </c>
    </row>
    <row r="25">
      <c r="A25" s="10">
        <f>IF(B25="","",ROW()-5)</f>
        <v/>
      </c>
      <c r="B25" s="11" t="n"/>
      <c r="C25" s="11" t="n"/>
      <c r="D25" s="11" t="n"/>
      <c r="E25" s="13"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3" t="n"/>
      <c r="F26" s="11" t="n"/>
      <c r="G26" s="11" t="n"/>
      <c r="H26" s="11" t="n"/>
      <c r="J26" s="5" t="inlineStr">
        <is>
          <t xml:space="preserve">  3. Déposer par montants qui recoupent le registre, pour que le relevé confirme les lignes.</t>
        </is>
      </c>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4">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SUMIF(D6:D350,"Frais d'expédition*",E6:E350)</f>
        <v/>
      </c>
    </row>
    <row r="6">
      <c r="A6" s="10">
        <f>IF(B6="","",ROW()-5)</f>
        <v/>
      </c>
      <c r="B6" s="11" t="inlineStr">
        <is>
          <t>26/07/2026</t>
        </is>
      </c>
      <c r="C6" s="11" t="inlineStr">
        <is>
          <t>ERA Enchères Rhône-Alpes</t>
        </is>
      </c>
      <c r="D6" s="11" t="inlineStr">
        <is>
          <t>Pompe immergée ROBBY VP550W noir et bleu — produit d'occasion</t>
        </is>
      </c>
      <c r="E6" s="13"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3"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3"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3"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3"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3"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3"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3"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3"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3"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3"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3"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3"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3"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3"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3"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3"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3"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3"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3"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3"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3"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3"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3"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3"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3"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3"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3"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3"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3"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3"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3"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3" t="n">
        <v>50.4</v>
      </c>
      <c r="F38" s="11" t="inlineStr">
        <is>
          <t>Carte</t>
        </is>
      </c>
      <c r="G38" s="11" t="inlineStr">
        <is>
          <t>FB2026-44194 · bordereau ADN-1712-6</t>
        </is>
      </c>
    </row>
    <row r="39">
      <c r="A39" s="10">
        <f>IF(B39="","",ROW()-5)</f>
        <v/>
      </c>
      <c r="B39" s="11" t="inlineStr">
        <is>
          <t>03/08/2026</t>
        </is>
      </c>
      <c r="C39" s="11" t="inlineStr">
        <is>
          <t>Meccha Japan</t>
        </is>
      </c>
      <c r="D39" s="11" t="inlineStr">
        <is>
          <t>Booster Box Pokémon MEGA Nihil Zero (Munikis Zero) M3 — 30 boosters</t>
        </is>
      </c>
      <c r="E39" s="13" t="n">
        <v>69.23999999999999</v>
      </c>
      <c r="F39" s="11" t="inlineStr">
        <is>
          <t>Carte</t>
        </is>
      </c>
      <c r="G39" s="11" t="inlineStr">
        <is>
          <t>#FA429713 · commande DVGGUEEHC</t>
        </is>
      </c>
    </row>
    <row r="40">
      <c r="A40" s="10">
        <f>IF(B40="","",ROW()-5)</f>
        <v/>
      </c>
      <c r="B40" s="11" t="inlineStr">
        <is>
          <t>03/08/2026</t>
        </is>
      </c>
      <c r="C40" s="11" t="inlineStr">
        <is>
          <t>Meccha Japan</t>
        </is>
      </c>
      <c r="D40" s="11" t="inlineStr">
        <is>
          <t>Booster Pokémon High Class Pack MEGA Dream ex M2a — 10 cartes</t>
        </is>
      </c>
      <c r="E40" s="13" t="n">
        <v>12.95</v>
      </c>
      <c r="F40" s="11" t="inlineStr">
        <is>
          <t>Carte</t>
        </is>
      </c>
      <c r="G40" s="11" t="inlineStr">
        <is>
          <t>#FA429713 · commande DVGGUEEHC</t>
        </is>
      </c>
    </row>
    <row r="41">
      <c r="A41" s="10">
        <f>IF(B41="","",ROW()-5)</f>
        <v/>
      </c>
      <c r="B41" s="11" t="inlineStr">
        <is>
          <t>03/08/2026</t>
        </is>
      </c>
      <c r="C41" s="11" t="inlineStr">
        <is>
          <t>Meccha Japan</t>
        </is>
      </c>
      <c r="D41" s="11" t="inlineStr">
        <is>
          <t>Boosters Pokémon MEGA Storm Emeralda M6 ×2 — 5 cartes chacun</t>
        </is>
      </c>
      <c r="E41" s="13"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3"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3"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3"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3"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3"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3"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3"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3"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3" t="n">
        <v>44.02</v>
      </c>
      <c r="F50" s="11" t="inlineStr">
        <is>
          <t>Carte</t>
        </is>
      </c>
      <c r="G50" s="11" t="inlineStr">
        <is>
          <t>FF2026-4456 · TLE-C27429</t>
        </is>
      </c>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row r="347">
      <c r="A347" s="10">
        <f>IF(B347="","",ROW()-5)</f>
        <v/>
      </c>
      <c r="B347" s="11" t="n"/>
      <c r="C347" s="11" t="n"/>
      <c r="D347" s="11" t="n"/>
      <c r="E347" s="13" t="n"/>
      <c r="F347" s="11" t="n"/>
      <c r="G347" s="11" t="n"/>
    </row>
    <row r="348">
      <c r="A348" s="10">
        <f>IF(B348="","",ROW()-5)</f>
        <v/>
      </c>
      <c r="B348" s="11" t="n"/>
      <c r="C348" s="11" t="n"/>
      <c r="D348" s="11" t="n"/>
      <c r="E348" s="13" t="n"/>
      <c r="F348" s="11" t="n"/>
      <c r="G348" s="11" t="n"/>
    </row>
    <row r="349">
      <c r="A349" s="10">
        <f>IF(B349="","",ROW()-5)</f>
        <v/>
      </c>
      <c r="B349" s="11" t="n"/>
      <c r="C349" s="11" t="n"/>
      <c r="D349" s="11" t="n"/>
      <c r="E349" s="13" t="n"/>
      <c r="F349" s="11" t="n"/>
      <c r="G349" s="11" t="n"/>
    </row>
    <row r="350">
      <c r="A350" s="10">
        <f>IF(B350="","",ROW()-5)</f>
        <v/>
      </c>
      <c r="B350" s="11" t="n"/>
      <c r="C350" s="11" t="n"/>
      <c r="D350" s="11" t="n"/>
      <c r="E350" s="13"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3" t="n">
        <v>35.9</v>
      </c>
      <c r="H6" s="11" t="inlineStr">
        <is>
          <t>Carte</t>
        </is>
      </c>
      <c r="I6" s="11" t="inlineStr"/>
      <c r="J6" s="13"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3" t="n">
        <v>28.29</v>
      </c>
      <c r="H7" s="11" t="inlineStr">
        <is>
          <t>Carte</t>
        </is>
      </c>
      <c r="I7" s="11" t="inlineStr"/>
      <c r="J7" s="13"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3" t="n">
        <v>19.41</v>
      </c>
      <c r="H8" s="11" t="inlineStr">
        <is>
          <t>Carte</t>
        </is>
      </c>
      <c r="I8" s="11" t="inlineStr"/>
      <c r="J8" s="13"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3" t="n">
        <v>37.8</v>
      </c>
      <c r="H11" s="11" t="inlineStr">
        <is>
          <t>Carte</t>
        </is>
      </c>
      <c r="I11" s="11" t="inlineStr"/>
      <c r="J11" s="13"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3" t="n">
        <v>37.8</v>
      </c>
      <c r="H12" s="11" t="inlineStr">
        <is>
          <t>Carte</t>
        </is>
      </c>
      <c r="I12" s="11" t="inlineStr"/>
      <c r="J12" s="13" t="inlineStr"/>
      <c r="K12" s="11" t="inlineStr"/>
    </row>
    <row r="13">
      <c r="A13" s="17">
        <f>IF(B13="","",ROW()-5)</f>
        <v/>
      </c>
      <c r="B13" s="18" t="inlineStr">
        <is>
          <t>28/07/2026</t>
        </is>
      </c>
      <c r="C13" s="18" t="inlineStr">
        <is>
          <t>ADN Enchères — Le Mans</t>
        </is>
      </c>
      <c r="D13" s="18" t="inlineStr">
        <is>
          <t>Facture — opérateur de ventes volontaires agréé</t>
        </is>
      </c>
      <c r="E13" s="18" t="inlineStr">
        <is>
          <t>Baskets HOKA P.37 1/3 — neuves</t>
        </is>
      </c>
      <c r="F13" s="18" t="inlineStr">
        <is>
          <t>Hoka</t>
        </is>
      </c>
      <c r="G13" s="19" t="n">
        <v>63</v>
      </c>
      <c r="H13" s="18" t="inlineStr">
        <is>
          <t>Carte</t>
        </is>
      </c>
      <c r="I13" s="18" t="inlineStr">
        <is>
          <t>09/08/2026</t>
        </is>
      </c>
      <c r="J13" s="19" t="n">
        <v>80</v>
      </c>
      <c r="K13" s="18" t="inlineStr"/>
    </row>
    <row r="14">
      <c r="A14" s="17">
        <f>IF(B14="","",ROW()-5)</f>
        <v/>
      </c>
      <c r="B14" s="18" t="inlineStr">
        <is>
          <t>28/07/2026</t>
        </is>
      </c>
      <c r="C14" s="18" t="inlineStr">
        <is>
          <t>ADN Enchères — Le Mans</t>
        </is>
      </c>
      <c r="D14" s="18" t="inlineStr">
        <is>
          <t>Facture — opérateur de ventes volontaires agréé</t>
        </is>
      </c>
      <c r="E14" s="18" t="inlineStr">
        <is>
          <t>Baskets NIKE Air Max Moto 2K P.44.5 — neuves</t>
        </is>
      </c>
      <c r="F14" s="18" t="inlineStr">
        <is>
          <t>Nike</t>
        </is>
      </c>
      <c r="G14" s="19" t="n">
        <v>50.4</v>
      </c>
      <c r="H14" s="18" t="inlineStr">
        <is>
          <t>Carte</t>
        </is>
      </c>
      <c r="I14" s="18" t="inlineStr">
        <is>
          <t>09/08/2026</t>
        </is>
      </c>
      <c r="J14" s="19" t="n">
        <v>70</v>
      </c>
      <c r="K14" s="18" t="inlineStr"/>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3" t="n">
        <v>12.6</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3" t="n">
        <v>75.59999999999999</v>
      </c>
      <c r="H16" s="11" t="inlineStr">
        <is>
          <t>Carte</t>
        </is>
      </c>
      <c r="I16" s="11" t="inlineStr"/>
      <c r="J16" s="13"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3" t="n">
        <v>37.8</v>
      </c>
      <c r="H17" s="11" t="inlineStr">
        <is>
          <t>Carte</t>
        </is>
      </c>
      <c r="I17" s="11" t="inlineStr"/>
      <c r="J17" s="13"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3" t="n">
        <v>50.4</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3" t="n">
        <v>37.8</v>
      </c>
      <c r="H19" s="11" t="inlineStr">
        <is>
          <t>Carte</t>
        </is>
      </c>
      <c r="I19" s="11" t="inlineStr"/>
      <c r="J19" s="13"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3" t="n">
        <v>37.8</v>
      </c>
      <c r="H21" s="11" t="inlineStr">
        <is>
          <t>Carte</t>
        </is>
      </c>
      <c r="I21" s="11" t="inlineStr"/>
      <c r="J21" s="13"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3" t="n">
        <v>25.2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3" t="n">
        <v>38.34</v>
      </c>
      <c r="H23" s="11" t="inlineStr">
        <is>
          <t>Carte</t>
        </is>
      </c>
      <c r="I23" s="11" t="inlineStr"/>
      <c r="J23" s="13"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3" t="n">
        <v>51.12</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3" t="n">
        <v>21.73</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3" t="n">
        <v>51.12</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3" t="n">
        <v>52.4</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3" t="n">
        <v>57.51</v>
      </c>
      <c r="H29" s="11" t="inlineStr">
        <is>
          <t>Carte</t>
        </is>
      </c>
      <c r="I29" s="11" t="inlineStr"/>
      <c r="J29" s="13"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3" t="n">
        <v>25.56</v>
      </c>
      <c r="H30" s="11" t="inlineStr">
        <is>
          <t>Carte</t>
        </is>
      </c>
      <c r="I30" s="11" t="inlineStr"/>
      <c r="J30" s="13"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3" t="n">
        <v>20.45</v>
      </c>
      <c r="H31" s="11" t="inlineStr">
        <is>
          <t>Carte</t>
        </is>
      </c>
      <c r="I31" s="11" t="inlineStr"/>
      <c r="J31" s="13"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3" t="n">
        <v>31.95</v>
      </c>
      <c r="H32" s="11" t="inlineStr">
        <is>
          <t>Carte</t>
        </is>
      </c>
      <c r="I32" s="11" t="inlineStr"/>
      <c r="J32" s="13"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3" t="n">
        <v>19.17</v>
      </c>
      <c r="H34" s="11" t="inlineStr">
        <is>
          <t>Carte</t>
        </is>
      </c>
      <c r="I34" s="11" t="inlineStr"/>
      <c r="J34" s="13"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3" t="n">
        <v>38.34</v>
      </c>
      <c r="H35" s="11" t="inlineStr">
        <is>
          <t>Carte</t>
        </is>
      </c>
      <c r="I35" s="11" t="inlineStr"/>
      <c r="J35" s="13"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3" t="n">
        <v>50.4</v>
      </c>
      <c r="H37" s="11" t="inlineStr">
        <is>
          <t>Carte</t>
        </is>
      </c>
      <c r="I37" s="11" t="inlineStr"/>
      <c r="J37" s="13" t="inlineStr"/>
      <c r="K37" s="11" t="inlineStr"/>
    </row>
    <row r="38">
      <c r="A38" s="10">
        <f>IF(B38="","",ROW()-5)</f>
        <v/>
      </c>
      <c r="B38" s="11" t="inlineStr">
        <is>
          <t>03/08/2026</t>
        </is>
      </c>
      <c r="C38" s="11" t="inlineStr">
        <is>
          <t>Meccha Japan</t>
        </is>
      </c>
      <c r="D38" s="11" t="inlineStr">
        <is>
          <t>Facture</t>
        </is>
      </c>
      <c r="E38" s="11" t="inlineStr">
        <is>
          <t>Booster Box Pokémon MEGA Nihil Zero (Munikis Zero) M3 — 30 boosters</t>
        </is>
      </c>
      <c r="F38" s="11" t="inlineStr">
        <is>
          <t>Pokémon — MEGA Nihil Zero M3 (réf. 4521329432274)</t>
        </is>
      </c>
      <c r="G38" s="13" t="n">
        <v>69.23999999999999</v>
      </c>
      <c r="H38" s="11" t="inlineStr">
        <is>
          <t>Carte</t>
        </is>
      </c>
      <c r="I38" s="11" t="inlineStr"/>
      <c r="J38" s="13" t="inlineStr"/>
      <c r="K38" s="11" t="inlineStr"/>
    </row>
    <row r="39">
      <c r="A39" s="10">
        <f>IF(B39="","",ROW()-5)</f>
        <v/>
      </c>
      <c r="B39" s="11" t="inlineStr">
        <is>
          <t>03/08/2026</t>
        </is>
      </c>
      <c r="C39" s="11" t="inlineStr">
        <is>
          <t>Meccha Japan</t>
        </is>
      </c>
      <c r="D39" s="11" t="inlineStr">
        <is>
          <t>Facture</t>
        </is>
      </c>
      <c r="E39" s="11" t="inlineStr">
        <is>
          <t>Booster Pokémon High Class Pack MEGA Dream ex M2a — 10 cartes</t>
        </is>
      </c>
      <c r="F39" s="11" t="inlineStr">
        <is>
          <t>Pokémon — High Class MEGA Dream ex M2a (réf. 4521329431925)</t>
        </is>
      </c>
      <c r="G39" s="13" t="n">
        <v>12.95</v>
      </c>
      <c r="H39" s="11" t="inlineStr">
        <is>
          <t>Carte</t>
        </is>
      </c>
      <c r="I39" s="11" t="inlineStr"/>
      <c r="J39" s="13"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Boosters Pokémon MEGA Storm Emeralda M6 ×2 — 5 cartes chacun</t>
        </is>
      </c>
      <c r="F40" s="11" t="inlineStr">
        <is>
          <t>Pokémon — MEGA Storm Emeralda M6 (réf. 4521329462226)</t>
        </is>
      </c>
      <c r="G40" s="13" t="n">
        <v>12.74</v>
      </c>
      <c r="H40" s="11" t="inlineStr">
        <is>
          <t>Carte</t>
        </is>
      </c>
      <c r="I40" s="11" t="inlineStr"/>
      <c r="J40" s="13"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3" t="n">
        <v>63</v>
      </c>
      <c r="H41" s="11" t="inlineStr">
        <is>
          <t>Carte</t>
        </is>
      </c>
      <c r="I41" s="11" t="inlineStr"/>
      <c r="J41" s="13"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3" t="n">
        <v>37.8</v>
      </c>
      <c r="H42" s="11" t="inlineStr">
        <is>
          <t>Carte</t>
        </is>
      </c>
      <c r="I42" s="11" t="inlineStr"/>
      <c r="J42" s="13"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3" t="n">
        <v>63</v>
      </c>
      <c r="H43" s="11" t="inlineStr">
        <is>
          <t>Carte</t>
        </is>
      </c>
      <c r="I43" s="11" t="inlineStr"/>
      <c r="J43" s="13"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3" t="n">
        <v>68.56999999999999</v>
      </c>
      <c r="H44" s="11" t="inlineStr">
        <is>
          <t>Carte</t>
        </is>
      </c>
      <c r="I44" s="11" t="inlineStr"/>
      <c r="J44" s="13"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3" t="n">
        <v>56.7</v>
      </c>
      <c r="H45" s="11" t="inlineStr">
        <is>
          <t>Carte</t>
        </is>
      </c>
      <c r="I45" s="11" t="inlineStr"/>
      <c r="J45" s="13" t="inlineStr"/>
      <c r="K45" s="11" t="inlineStr"/>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row r="342">
      <c r="A342" s="10">
        <f>IF(B342="","",ROW()-5)</f>
        <v/>
      </c>
      <c r="B342" s="11" t="n"/>
      <c r="C342" s="11" t="n"/>
      <c r="D342" s="11" t="n"/>
      <c r="E342" s="11" t="n"/>
      <c r="F342" s="11" t="n"/>
      <c r="G342" s="13" t="n"/>
      <c r="H342" s="11" t="n"/>
      <c r="I342" s="11" t="n"/>
      <c r="J342" s="13" t="n"/>
      <c r="K342" s="11" t="n"/>
    </row>
    <row r="343">
      <c r="A343" s="10">
        <f>IF(B343="","",ROW()-5)</f>
        <v/>
      </c>
      <c r="B343" s="11" t="n"/>
      <c r="C343" s="11" t="n"/>
      <c r="D343" s="11" t="n"/>
      <c r="E343" s="11" t="n"/>
      <c r="F343" s="11" t="n"/>
      <c r="G343" s="13" t="n"/>
      <c r="H343" s="11" t="n"/>
      <c r="I343" s="11" t="n"/>
      <c r="J343" s="13" t="n"/>
      <c r="K343" s="11" t="n"/>
    </row>
    <row r="344">
      <c r="A344" s="10">
        <f>IF(B344="","",ROW()-5)</f>
        <v/>
      </c>
      <c r="B344" s="11" t="n"/>
      <c r="C344" s="11" t="n"/>
      <c r="D344" s="11" t="n"/>
      <c r="E344" s="11" t="n"/>
      <c r="F344" s="11" t="n"/>
      <c r="G344" s="13" t="n"/>
      <c r="H344" s="11" t="n"/>
      <c r="I344" s="11" t="n"/>
      <c r="J344" s="13" t="n"/>
      <c r="K344" s="11" t="n"/>
    </row>
    <row r="345">
      <c r="A345" s="10">
        <f>IF(B345="","",ROW()-5)</f>
        <v/>
      </c>
      <c r="B345" s="11" t="n"/>
      <c r="C345" s="11" t="n"/>
      <c r="D345" s="11" t="n"/>
      <c r="E345" s="11" t="n"/>
      <c r="F345" s="11" t="n"/>
      <c r="G345" s="13" t="n"/>
      <c r="H345" s="11" t="n"/>
      <c r="I345" s="11" t="n"/>
      <c r="J345" s="13"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2026-08-14T00:57:48Z</dcterms:created>
  <dcterms:modified xsi:type="dcterms:W3CDTF">2026-08-14T00:57:48Z</dcterms:modified>
</cp:coreProperties>
</file>