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recettes'!$A$5:$H$311</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4">
    <fill>
      <patternFill/>
    </fill>
    <fill>
      <patternFill patternType="gray125"/>
    </fill>
    <fill>
      <patternFill patternType="solid">
        <fgColor rgb="001A1A1A"/>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8" fillId="0" borderId="0" pivotButton="0" quotePrefix="0" xfId="0"/>
    <xf numFmtId="0" fontId="7" fillId="0" borderId="1" pivotButton="0" quotePrefix="0" xfId="0"/>
    <xf numFmtId="0" fontId="4" fillId="3" borderId="1" pivotButton="0" quotePrefix="0" xfId="0"/>
    <xf numFmtId="0" fontId="5" fillId="3" borderId="1" pivotButton="0" quotePrefix="0" xfId="0"/>
    <xf numFmtId="164"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4"/>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Numérotation des factures</t>
        </is>
      </c>
      <c r="B14" s="4" t="inlineStr">
        <is>
          <t>Une seule série, continue, sans trou : 2026-001, 2026-002, 2026-003. Un numéro sauté ou réutilisé fait présumer une facture dissimulée. La première facture émise porte le n° 2026-001, vente à Mme Aouimeur Siham du 09/08/2026.</t>
        </is>
      </c>
    </row>
    <row r="15">
      <c r="A15" s="3" t="inlineStr">
        <is>
          <t>Conservation</t>
        </is>
      </c>
      <c r="B15" s="4" t="inlineStr">
        <is>
          <t>5 ans minimum. Garder les factures des maisons de vente, elles justifient chaque ligne.</t>
        </is>
      </c>
    </row>
    <row r="16">
      <c r="A16" s="3" t="inlineStr">
        <is>
          <t>Sortie partielle</t>
        </is>
      </c>
      <c r="B16" s="4" t="inlineStr">
        <is>
          <t>Un lot vendu à l'unité se solde en plusieurs fois : le noter en observations jusqu'à épuisement.</t>
        </is>
      </c>
    </row>
    <row r="17">
      <c r="A17" s="3" t="inlineStr">
        <is>
          <t>Prélèvement personnel</t>
        </is>
      </c>
      <c r="B17"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3" t="inlineStr">
        <is>
          <t>Le remboursement du prélèvement</t>
        </is>
      </c>
      <c r="B18" s="4" t="inlineStr">
        <is>
          <t>Remettre l'argent sur le compte pro n'est pas obligatoire — il n'y a qu'une personne juridique. Mais c'est une bonne pratique : sans ça, le stock fond et la caisse ne suit pas. Verser le COÛT D'ACHAT, pas le prix de vente : l'entreprise récupère ce qu'elle a payé, ni plus ni moins.</t>
        </is>
      </c>
    </row>
    <row r="19">
      <c r="A19" s="3" t="inlineStr">
        <is>
          <t>Apport, pas recette</t>
        </is>
      </c>
      <c r="B19" s="4" t="inlineStr">
        <is>
          <t>Le virement du compte personnel vers le compte professionnel est un APPORT. Aucun chiffre d'affaires, aucune URSSAF, rien à déclarer. Le libeller « apport personnel » : sur un relevé pro, une somme qui arrive sans libellé ressemble à un encaissement client introuvable au livre des recettes.</t>
        </is>
      </c>
    </row>
    <row r="20">
      <c r="A20" s="3" t="inlineStr">
        <is>
          <t>Apport enregistré</t>
        </is>
      </c>
      <c r="B20" s="4" t="inlineStr">
        <is>
          <t>150,50 € versés en apport personnel, couvrant au coût les quatre prélèvements : Hoka 65,37 € + Nike 52,77 € + pompe Robby ligne 131 19,41 € + booster High Class 12,95 €.</t>
        </is>
      </c>
    </row>
    <row r="22">
      <c r="A22" s="2" t="inlineStr">
        <is>
          <t>VENTES EN ESPÈCES</t>
        </is>
      </c>
    </row>
    <row r="23">
      <c r="A23" s="3" t="inlineStr">
        <is>
          <t>Plafond</t>
        </is>
      </c>
      <c r="B23" s="4" t="inlineStr">
        <is>
          <t>1 000 € par transaction entre un professionnel et un particulier résidant en France — art. L112-6 du code monétaire et financier. Aucune vente n'en approche.</t>
        </is>
      </c>
    </row>
    <row r="24">
      <c r="A24" s="3" t="inlineStr">
        <is>
          <t>La preuve</t>
        </is>
      </c>
      <c r="B24" s="4" t="inlineStr">
        <is>
          <t>Une note de vente par transaction : date, article, prix, nom de l'acheteur. Un carnet à souches suffit. C'est elle qui adosse la ligne du registre.</t>
        </is>
      </c>
    </row>
    <row r="25">
      <c r="A25" s="3" t="inlineStr">
        <is>
          <t>Le dépôt</t>
        </is>
      </c>
      <c r="B25" s="4" t="inlineStr">
        <is>
          <t>Déposer directement sur le compte professionnel. Passer par le compte personnel puis virer casse le lien entre la vente et le relevé.</t>
        </is>
      </c>
    </row>
    <row r="27">
      <c r="A27" s="2" t="inlineStr">
        <is>
          <t>DÉCLARATION URSSAF</t>
        </is>
      </c>
    </row>
    <row r="28">
      <c r="A28" s="3" t="inlineStr">
        <is>
          <t>Ce qu'on déclare</t>
        </is>
      </c>
      <c r="B28" s="4" t="inlineStr">
        <is>
          <t>Le chiffre d'affaires encaissé sur la période. Total en haut à droite du livre des recettes.</t>
        </is>
      </c>
    </row>
    <row r="29">
      <c r="A29" s="3" t="inlineStr">
        <is>
          <t>Taux</t>
        </is>
      </c>
      <c r="B29" s="4" t="inlineStr">
        <is>
          <t>12,3 % de cotisations + 0,1 % de CFP = 12,4 %. À vérifier sur autoentrepreneur.urssaf.fr.</t>
        </is>
      </c>
    </row>
    <row r="30">
      <c r="A30" s="3" t="inlineStr">
        <is>
          <t>Provision</t>
        </is>
      </c>
      <c r="B30" s="4" t="inlineStr">
        <is>
          <t>À virer sur un compte séparé à chaque encaissement, pas au trimestre.</t>
        </is>
      </c>
    </row>
    <row r="31">
      <c r="A31" s="3" t="inlineStr">
        <is>
          <t>Pas de versement libératoire</t>
        </is>
      </c>
      <c r="B31" s="4" t="inlineStr">
        <is>
          <t>L'impôt suit le barème après abattement de 71 %. Il tombe l'année suivante — à provisionner aussi.</t>
        </is>
      </c>
    </row>
    <row r="33">
      <c r="A33" s="2" t="inlineStr">
        <is>
          <t>CE QUI RESTE À COMPLÉTER</t>
        </is>
      </c>
    </row>
    <row r="34">
      <c r="A34" s="3" t="inlineStr">
        <is>
          <t>Livre des recettes</t>
        </is>
      </c>
      <c r="B34" s="4" t="inlineStr">
        <is>
          <t>Complet. Quatre ventes à Mme Aouimeur Siham le 09/08 en espèces et main propre, deux paires de Havaianas sur Vinted encaissées le 10/08.</t>
        </is>
      </c>
    </row>
    <row r="35">
      <c r="A35" s="3" t="inlineStr">
        <is>
          <t>Ventes Vinted</t>
        </is>
      </c>
      <c r="B35" s="4" t="inlineStr">
        <is>
          <t>Sur un compte particulier, le vendeur ne paie pas de commission et l'acheteur paie le port : le prix affiché est encaissé en entier. Les fonds sont libérés après validation de la réception, c'est cette date-là qui compte au registre.</t>
        </is>
      </c>
    </row>
    <row r="36">
      <c r="A36" s="3" t="inlineStr">
        <is>
          <t>Justifier une vente Vinted</t>
        </is>
      </c>
      <c r="B36" s="4" t="inlineStr">
        <is>
          <t>Vinted n'affiche AUCUN numéro de commande au vendeur. Le justificatif, c'est l'historique du porte-monnaie (Profil puis Solde) : date, montant, article. En faire une capture d'écran. Le numéro de suivi du colis et la conversation avec l'acheteur complètent la preuve.</t>
        </is>
      </c>
    </row>
    <row r="37">
      <c r="A37" s="3" t="inlineStr">
        <is>
          <t>Relevé annuel DAC7</t>
        </is>
      </c>
      <c r="B37" s="4" t="inlineStr">
        <is>
          <t>Vinted déclare au fisc les vendeurs dépassant 30 ventes ou 2 000 € par an, et envoie un relevé annuel récapitulatif vers janvier. Le conserver et VÉRIFIER QU'IL CONCORDE avec le livre des recettes : un écart entre ce que la plateforme déclare et ce que tu déclares est le premier déclencheur de contrôle.</t>
        </is>
      </c>
    </row>
    <row r="38">
      <c r="A38" s="3" t="inlineStr">
        <is>
          <t>Exporter régulièrement</t>
        </is>
      </c>
      <c r="B38" s="4" t="inlineStr">
        <is>
          <t>Les plateformes ne gardent pas l'historique cinq ans, contrairement à l'obligation de conservation. Exporter les justificatifs en PDF ou en capture, dans un dossier daté.</t>
        </is>
      </c>
    </row>
    <row r="39">
      <c r="A39" s="3" t="inlineStr">
        <is>
          <t>Plus aucune ligne jaune</t>
        </is>
      </c>
      <c r="B39" s="4" t="inlineStr">
        <is>
          <t>Tous les achats ont leur facture. Bordereau ERA n°507148 réglé en deux fois : 59,60 € le 28/07 et 24,00 € le 03/08/2026.</t>
        </is>
      </c>
    </row>
    <row r="40">
      <c r="A40" s="3" t="inlineStr">
        <is>
          <t>Défauts déclarés</t>
        </is>
      </c>
      <c r="B40" s="4" t="inlineStr">
        <is>
          <t>Deux pompes Robby portent un défaut mentionné au bordereau : socle cassé sur la ligne 122, mode manuel hors service sur la ligne 131. Le défaut se recopie dans l'annonce — un défaut caché se retourne contre le vendeur professionnel.</t>
        </is>
      </c>
    </row>
    <row r="41">
      <c r="A41" s="3" t="inlineStr">
        <is>
          <t>Import du Japon</t>
        </is>
      </c>
      <c r="B41" s="4" t="inlineStr">
        <is>
          <t>La facture Meccha Japan #FA429713 ne porte aucune TVA. Si La Poste a réclamé la TVA à 20 % et des frais de dossier à la livraison, ce montant s'ajoute au coût d'achat : le noter en ligne séparée.</t>
        </is>
      </c>
    </row>
    <row r="43">
      <c r="A43" s="2" t="inlineStr">
        <is>
          <t>IDENTITÉ DE L'ENTREPRISE</t>
        </is>
      </c>
    </row>
    <row r="44">
      <c r="A44" s="3" t="inlineStr">
        <is>
          <t>Exploitant</t>
        </is>
      </c>
      <c r="B44" s="4" t="inlineStr">
        <is>
          <t>Nacim IZRI — entrepreneur individuel (EI), enseigne Maison Nsaia.</t>
        </is>
      </c>
    </row>
    <row r="45">
      <c r="A45" s="3" t="inlineStr">
        <is>
          <t>SIRET</t>
        </is>
      </c>
      <c r="B45" s="4" t="inlineStr">
        <is>
          <t>804 431 799 00027 — SIREN 804 431 799. Clé de contrôle vérifiée.</t>
        </is>
      </c>
    </row>
    <row r="46">
      <c r="A46" s="3" t="inlineStr">
        <is>
          <t>RCS</t>
        </is>
      </c>
      <c r="B46" s="4" t="inlineStr">
        <is>
          <t>RCS Toulouse 804 431 799. À confirmer sur l'extrait K : le greffe et le numéro doivent figurer sur toute facture d'un commerçant.</t>
        </is>
      </c>
    </row>
    <row r="47">
      <c r="A47" s="3" t="inlineStr">
        <is>
          <t>Siège</t>
        </is>
      </c>
      <c r="B47" s="4" t="inlineStr">
        <is>
          <t>2 rue du Levant, 31700 Beauzelle.</t>
        </is>
      </c>
    </row>
    <row r="48">
      <c r="A48" s="3" t="inlineStr">
        <is>
          <t>Mentions obligatoires sur facture</t>
        </is>
      </c>
      <c r="B48" s="4" t="inlineStr">
        <is>
          <t>Nom, mention « EI », adresse, SIRET, RCS, numéro et date de facture, identité du client, désignation et quantité, prix unitaire, total, « TVA non applicable, art. 293 B du CGI », date et mode de règlement.</t>
        </is>
      </c>
    </row>
    <row r="50">
      <c r="A50" s="2" t="inlineStr">
        <is>
          <t>OÙ VÉRIFIER</t>
        </is>
      </c>
    </row>
    <row r="51">
      <c r="A51" s="3" t="inlineStr">
        <is>
          <t>URSSAF</t>
        </is>
      </c>
      <c r="B51" s="4" t="inlineStr">
        <is>
          <t>autoentrepreneur.urssaf.fr · téléphone 3698</t>
        </is>
      </c>
    </row>
    <row r="52">
      <c r="A52" s="3" t="inlineStr">
        <is>
          <t>Obligations du commerçant</t>
        </is>
      </c>
      <c r="B52" s="4" t="inlineStr">
        <is>
          <t>entreprendre.service-public.fr</t>
        </is>
      </c>
    </row>
    <row r="53">
      <c r="A53" s="3" t="inlineStr">
        <is>
          <t>CGV et droit de la consommation</t>
        </is>
      </c>
      <c r="B53" s="4" t="inlineStr">
        <is>
          <t>DGCCRF — economie.gouv.fr/dgccrf</t>
        </is>
      </c>
    </row>
    <row r="54">
      <c r="A54" s="3" t="inlineStr">
        <is>
          <t>Conseil gratuit</t>
        </is>
      </c>
      <c r="B54"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1"/>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SUM(E6:E311)</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Facture n° 2026-001</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Facture n° 2026-001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Facture n° 2026-001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Facture n° 2026-001</t>
        </is>
      </c>
      <c r="J9" s="8" t="inlineStr">
        <is>
          <t>SALOMON X Ultra 5 Mid GTX P.44 — vendu le 12/08/2026</t>
        </is>
      </c>
      <c r="K9" s="13" t="n">
        <v>100</v>
      </c>
    </row>
    <row r="10">
      <c r="A10" s="10">
        <f>IF(B10="","",ROW()-5)</f>
        <v/>
      </c>
      <c r="B10" s="11" t="inlineStr">
        <is>
          <t>10/08/2026</t>
        </is>
      </c>
      <c r="C10" s="11" t="inlineStr">
        <is>
          <t>Natalie Gulitz — Offenbach am Main, Allemagne</t>
        </is>
      </c>
      <c r="D10" s="11" t="inlineStr">
        <is>
          <t>HAVAIANAS Slim 35/36 — 1 paire</t>
        </is>
      </c>
      <c r="E10" s="12" t="n">
        <v>14</v>
      </c>
      <c r="F10" s="11" t="inlineStr">
        <is>
          <t>Virement Vinted</t>
        </is>
      </c>
      <c r="G10" s="11" t="inlineStr">
        <is>
          <t>Vinted</t>
        </is>
      </c>
      <c r="H10" s="11" t="inlineStr">
        <is>
          <t>Vinted — suivi Chronopost XU173687375JF, expédiée le 03/08/2026</t>
        </is>
      </c>
      <c r="J10" s="5" t="inlineStr">
        <is>
          <t>Fonds retenus par Vinted jusqu'à validation de la réception (Italie).</t>
        </is>
      </c>
    </row>
    <row r="11">
      <c r="A11" s="10">
        <f>IF(B11="","",ROW()-5)</f>
        <v/>
      </c>
      <c r="B11" s="11" t="inlineStr">
        <is>
          <t>10/08/2026</t>
        </is>
      </c>
      <c r="C11" s="11" t="inlineStr">
        <is>
          <t>« colline_dvl » — pseudonyme Vinted</t>
        </is>
      </c>
      <c r="D11" s="11" t="inlineStr">
        <is>
          <t>HAVAIANAS Slim 35/36 — 1 paire</t>
        </is>
      </c>
      <c r="E11" s="12" t="n">
        <v>14</v>
      </c>
      <c r="F11" s="11" t="inlineStr">
        <is>
          <t>Virement Vinted</t>
        </is>
      </c>
      <c r="G11" s="11" t="inlineStr">
        <is>
          <t>Vinted</t>
        </is>
      </c>
      <c r="H11" s="11" t="inlineStr">
        <is>
          <t>Achat : FB2026-5844 lot n°120</t>
        </is>
      </c>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 26/07/2026</t>
        </is>
      </c>
    </row>
    <row r="29">
      <c r="A29" s="10">
        <f>IF(B29="","",ROW()-5)</f>
        <v/>
      </c>
      <c r="B29" s="11" t="n"/>
      <c r="C29" s="11" t="n"/>
      <c r="D29" s="11" t="n"/>
      <c r="E29" s="12" t="n"/>
      <c r="F29" s="11" t="n"/>
      <c r="G29" s="11" t="n"/>
      <c r="H29" s="11" t="n"/>
      <c r="J29" s="8" t="inlineStr">
        <is>
          <t>Booster High Class MEGA Dream ex M2a — gardé, 03/08/2026</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row r="311">
      <c r="A311" s="10">
        <f>IF(B311="","",ROW()-5)</f>
        <v/>
      </c>
      <c r="B311" s="11" t="n"/>
      <c r="C311" s="11" t="n"/>
      <c r="D311" s="11" t="n"/>
      <c r="E311" s="12" t="n"/>
      <c r="F311" s="11" t="n"/>
      <c r="G311" s="11" t="n"/>
      <c r="H311" s="11" t="n"/>
    </row>
  </sheetData>
  <autoFilter ref="A5:H3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4"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5">
        <f>COUNTIF(B6:B345,"&lt;&gt;")</f>
        <v/>
      </c>
    </row>
    <row r="4">
      <c r="M4" s="8" t="inlineStr">
        <is>
          <t>Sortis du stock</t>
        </is>
      </c>
      <c r="N4" s="15">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is>
          <t>26/07/2026</t>
        </is>
      </c>
      <c r="J8" s="12" t="inlineStr"/>
      <c r="K8" s="11" t="inlineStr">
        <is>
          <t>Prélevée pour usage personnel, sans contrepartie — ne fonctionne qu'en mode automatique</t>
        </is>
      </c>
    </row>
    <row r="9">
      <c r="A9" s="16">
        <f>IF(B9="","",ROW()-5)</f>
        <v/>
      </c>
      <c r="B9" s="17" t="inlineStr">
        <is>
          <t>28/07/2026</t>
        </is>
      </c>
      <c r="C9" s="17" t="inlineStr">
        <is>
          <t>ADN Enchères — Lyon</t>
        </is>
      </c>
      <c r="D9" s="17" t="inlineStr">
        <is>
          <t>Facture — opérateur de ventes volontaires agréé</t>
        </is>
      </c>
      <c r="E9" s="17" t="inlineStr">
        <is>
          <t>Lot de 12 paires de tongs HAVAIANAS fuchsia 35/36 — neuf</t>
        </is>
      </c>
      <c r="F9" s="17" t="inlineStr">
        <is>
          <t>Havaianas</t>
        </is>
      </c>
      <c r="G9" s="18" t="n">
        <v>100.8</v>
      </c>
      <c r="H9" s="17" t="inlineStr">
        <is>
          <t>Carte</t>
        </is>
      </c>
      <c r="I9" s="17" t="inlineStr">
        <is>
          <t>10/08/2026</t>
        </is>
      </c>
      <c r="J9" s="18" t="n">
        <v>28</v>
      </c>
      <c r="K9" s="17" t="inlineStr">
        <is>
          <t>Sortie partielle : 2 paires sur 12 vendues sur Vinted à 14 € — 10 restent en stock</t>
        </is>
      </c>
    </row>
    <row r="10">
      <c r="A10" s="16">
        <f>IF(B10="","",ROW()-5)</f>
        <v/>
      </c>
      <c r="B10" s="17" t="inlineStr">
        <is>
          <t>28/07/2026</t>
        </is>
      </c>
      <c r="C10" s="17" t="inlineStr">
        <is>
          <t>ADN Enchères — Le Mans</t>
        </is>
      </c>
      <c r="D10" s="17" t="inlineStr">
        <is>
          <t>Facture — opérateur de ventes volontaires agréé</t>
        </is>
      </c>
      <c r="E10" s="17" t="inlineStr">
        <is>
          <t>Veste en jean ARMANI EXCHANGE T.S — neuve</t>
        </is>
      </c>
      <c r="F10" s="17" t="inlineStr">
        <is>
          <t>Armani Exchange</t>
        </is>
      </c>
      <c r="G10" s="18" t="n">
        <v>25.2</v>
      </c>
      <c r="H10" s="17" t="inlineStr">
        <is>
          <t>Carte</t>
        </is>
      </c>
      <c r="I10" s="17" t="inlineStr">
        <is>
          <t>09/08/2026</t>
        </is>
      </c>
      <c r="J10" s="18" t="n">
        <v>40</v>
      </c>
      <c r="K10" s="17"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6">
        <f>IF(B20="","",ROW()-5)</f>
        <v/>
      </c>
      <c r="B20" s="17" t="inlineStr">
        <is>
          <t>28/07/2026</t>
        </is>
      </c>
      <c r="C20" s="17" t="inlineStr">
        <is>
          <t>ADN Enchères — Le Mans</t>
        </is>
      </c>
      <c r="D20" s="17" t="inlineStr">
        <is>
          <t>Facture — opérateur de ventes volontaires agréé</t>
        </is>
      </c>
      <c r="E20" s="17" t="inlineStr">
        <is>
          <t>Sac demi-lune nylon noir KARL LAGERFELD JEANS — neuf avec étiquette</t>
        </is>
      </c>
      <c r="F20" s="17" t="inlineStr">
        <is>
          <t>Karl Lagerfeld Jeans</t>
        </is>
      </c>
      <c r="G20" s="18" t="n">
        <v>50.4</v>
      </c>
      <c r="H20" s="17" t="inlineStr">
        <is>
          <t>Carte</t>
        </is>
      </c>
      <c r="I20" s="17" t="inlineStr">
        <is>
          <t>09/08/2026</t>
        </is>
      </c>
      <c r="J20" s="18" t="n">
        <v>70</v>
      </c>
      <c r="K20" s="17"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6">
        <f>IF(B24="","",ROW()-5)</f>
        <v/>
      </c>
      <c r="B24" s="17" t="inlineStr">
        <is>
          <t>03/08/2026</t>
        </is>
      </c>
      <c r="C24" s="17" t="inlineStr">
        <is>
          <t>ADN Enchères — Lyon</t>
        </is>
      </c>
      <c r="D24" s="17" t="inlineStr">
        <is>
          <t>Facture — opérateur de ventes volontaires agréé</t>
        </is>
      </c>
      <c r="E24" s="17" t="inlineStr">
        <is>
          <t>LACOSTE sneakers P.42 — neuves</t>
        </is>
      </c>
      <c r="F24" s="17" t="inlineStr">
        <is>
          <t>Lacoste</t>
        </is>
      </c>
      <c r="G24" s="18" t="n">
        <v>57.51</v>
      </c>
      <c r="H24" s="17" t="inlineStr">
        <is>
          <t>Carte</t>
        </is>
      </c>
      <c r="I24" s="17" t="inlineStr">
        <is>
          <t>09/08/2026</t>
        </is>
      </c>
      <c r="J24" s="18" t="n">
        <v>70</v>
      </c>
      <c r="K24" s="17"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6">
        <f>IF(B33="","",ROW()-5)</f>
        <v/>
      </c>
      <c r="B33" s="17" t="inlineStr">
        <is>
          <t>03/08/2026</t>
        </is>
      </c>
      <c r="C33" s="17" t="inlineStr">
        <is>
          <t>ADN Enchères — Le Mans</t>
        </is>
      </c>
      <c r="D33" s="17" t="inlineStr">
        <is>
          <t>Facture — opérateur de ventes volontaires agréé</t>
        </is>
      </c>
      <c r="E33" s="17" t="inlineStr">
        <is>
          <t>SALOMON X Ultra 5 Mid GTX P.44 — neuves</t>
        </is>
      </c>
      <c r="F33" s="17" t="inlineStr">
        <is>
          <t>Salomon</t>
        </is>
      </c>
      <c r="G33" s="18" t="n">
        <v>76.68000000000001</v>
      </c>
      <c r="H33" s="17" t="inlineStr">
        <is>
          <t>Carte</t>
        </is>
      </c>
      <c r="I33" s="17" t="inlineStr">
        <is>
          <t>12/08/2026</t>
        </is>
      </c>
      <c r="J33" s="18" t="n">
        <v>100</v>
      </c>
      <c r="K33" s="17"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6">
        <f>IF(B36="","",ROW()-5)</f>
        <v/>
      </c>
      <c r="B36" s="17" t="inlineStr">
        <is>
          <t>03/08/2026</t>
        </is>
      </c>
      <c r="C36" s="17" t="inlineStr">
        <is>
          <t>ADN Enchères — Le Mans</t>
        </is>
      </c>
      <c r="D36" s="17" t="inlineStr">
        <is>
          <t>Facture — opérateur de ventes volontaires agréé</t>
        </is>
      </c>
      <c r="E36" s="17" t="inlineStr">
        <is>
          <t>T-shirt BALENCIAGA T.2 — neuf</t>
        </is>
      </c>
      <c r="F36" s="17" t="inlineStr">
        <is>
          <t>Balenciaga</t>
        </is>
      </c>
      <c r="G36" s="18" t="n">
        <v>113.4</v>
      </c>
      <c r="H36" s="17" t="inlineStr">
        <is>
          <t>Carte</t>
        </is>
      </c>
      <c r="I36" s="17" t="inlineStr">
        <is>
          <t>09/08/2026</t>
        </is>
      </c>
      <c r="J36" s="18" t="n">
        <v>135</v>
      </c>
      <c r="K36" s="17"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is>
          <t>03/08/2026</t>
        </is>
      </c>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2026-08-14T02:02:42Z</dcterms:created>
  <dcterms:modified xsi:type="dcterms:W3CDTF">2026-08-14T02:02:42Z</dcterms:modified>
</cp:coreProperties>
</file>