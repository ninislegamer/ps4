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6"/>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Conservation</t>
        </is>
      </c>
      <c r="B14" s="4" t="inlineStr">
        <is>
          <t>5 ans minimum. Garder les factures des maisons de vente, elles justifient chaque ligne.</t>
        </is>
      </c>
    </row>
    <row r="15">
      <c r="A15" s="3" t="inlineStr">
        <is>
          <t>Sortie partielle</t>
        </is>
      </c>
      <c r="B15" s="4" t="inlineStr">
        <is>
          <t>Un lot vendu à l'unité se solde en plusieurs fois : le noter en observations jusqu'à épuisement.</t>
        </is>
      </c>
    </row>
    <row r="16">
      <c r="A16" s="3" t="inlineStr">
        <is>
          <t>Prélèvement personnel</t>
        </is>
      </c>
      <c r="B16"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7">
      <c r="A17" s="3" t="inlineStr">
        <is>
          <t>Le remboursement du prélèvement</t>
        </is>
      </c>
      <c r="B17"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8">
      <c r="A18" s="3" t="inlineStr">
        <is>
          <t>Apport, pas recette</t>
        </is>
      </c>
      <c r="B18"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19">
      <c r="A19" s="3" t="inlineStr">
        <is>
          <t>Apport enregistré</t>
        </is>
      </c>
      <c r="B19" s="4" t="inlineStr">
        <is>
          <t>150,50 € versés en apport personnel, couvrant au coût les quatre prélèvements : Hoka 65,37 € + Nike 52,77 € + pompe Robby ligne 131 19,41 € + booster High Class 12,95 €.</t>
        </is>
      </c>
    </row>
    <row r="21">
      <c r="A21" s="2" t="inlineStr">
        <is>
          <t>VENTES EN ESPÈCES</t>
        </is>
      </c>
    </row>
    <row r="22">
      <c r="A22" s="3" t="inlineStr">
        <is>
          <t>Plafond</t>
        </is>
      </c>
      <c r="B22" s="4" t="inlineStr">
        <is>
          <t>1 000 € par transaction entre un professionnel et un particulier résidant en France — art. L112-6 du code monétaire et financier. Aucune vente n'en approche.</t>
        </is>
      </c>
    </row>
    <row r="23">
      <c r="A23" s="3" t="inlineStr">
        <is>
          <t>La preuve</t>
        </is>
      </c>
      <c r="B23" s="4" t="inlineStr">
        <is>
          <t>Une note de vente par transaction : date, article, prix, nom de l'acheteur. Un carnet à souches suffit. C'est elle qui adosse la ligne du registre.</t>
        </is>
      </c>
    </row>
    <row r="24">
      <c r="A24" s="3" t="inlineStr">
        <is>
          <t>Le dépôt</t>
        </is>
      </c>
      <c r="B24" s="4" t="inlineStr">
        <is>
          <t>Déposer directement sur le compte professionnel. Passer par le compte personnel puis virer casse le lien entre la vente et le relevé.</t>
        </is>
      </c>
    </row>
    <row r="26">
      <c r="A26" s="2" t="inlineStr">
        <is>
          <t>DÉCLARATION URSSAF</t>
        </is>
      </c>
    </row>
    <row r="27">
      <c r="A27" s="3" t="inlineStr">
        <is>
          <t>Ce qu'on déclare</t>
        </is>
      </c>
      <c r="B27" s="4" t="inlineStr">
        <is>
          <t>Le chiffre d'affaires encaissé sur la période. Total en haut à droite du livre des recettes.</t>
        </is>
      </c>
    </row>
    <row r="28">
      <c r="A28" s="3" t="inlineStr">
        <is>
          <t>Taux</t>
        </is>
      </c>
      <c r="B28" s="4" t="inlineStr">
        <is>
          <t>12,3 % de cotisations + 0,1 % de CFP = 12,4 %. À vérifier sur autoentrepreneur.urssaf.fr.</t>
        </is>
      </c>
    </row>
    <row r="29">
      <c r="A29" s="3" t="inlineStr">
        <is>
          <t>Provision</t>
        </is>
      </c>
      <c r="B29" s="4" t="inlineStr">
        <is>
          <t>À virer sur un compte séparé à chaque encaissement, pas au trimestre.</t>
        </is>
      </c>
    </row>
    <row r="30">
      <c r="A30" s="3" t="inlineStr">
        <is>
          <t>Pas de versement libératoire</t>
        </is>
      </c>
      <c r="B30" s="4" t="inlineStr">
        <is>
          <t>L'impôt suit le barème après abattement de 71 %. Il tombe l'année suivante — à provisionner aussi.</t>
        </is>
      </c>
    </row>
    <row r="32">
      <c r="A32" s="2" t="inlineStr">
        <is>
          <t>CE QUI RESTE À COMPLÉTER</t>
        </is>
      </c>
    </row>
    <row r="33">
      <c r="A33" s="3" t="inlineStr">
        <is>
          <t>Livre des recettes</t>
        </is>
      </c>
      <c r="B33" s="4" t="inlineStr">
        <is>
          <t>Complet. Quatre ventes à Mme Aouimeur Siham le 09/08 en espèces et main propre, deux paires de Havaianas sur Vinted encaissées le 10/08.</t>
        </is>
      </c>
    </row>
    <row r="34">
      <c r="A34" s="3" t="inlineStr">
        <is>
          <t>Ventes Vinted</t>
        </is>
      </c>
      <c r="B34" s="4" t="inlineStr">
        <is>
          <t>Sur un compte particulier, le vendeur ne paie pas de commission et l'acheteur paie le port : le prix affiché est encaissé en entier. Les fonds sont libérés après validation de la réception, c'est cette date-là qui compte au registre.</t>
        </is>
      </c>
    </row>
    <row r="35">
      <c r="A35" s="3" t="inlineStr">
        <is>
          <t>Justifier une vente Vinted</t>
        </is>
      </c>
      <c r="B35"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36">
      <c r="A36" s="3" t="inlineStr">
        <is>
          <t>Relevé annuel DAC7</t>
        </is>
      </c>
      <c r="B36"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37">
      <c r="A37" s="3" t="inlineStr">
        <is>
          <t>Exporter régulièrement</t>
        </is>
      </c>
      <c r="B37" s="4" t="inlineStr">
        <is>
          <t>Les plateformes ne gardent pas l'historique cinq ans, contrairement à l'obligation de conservation. Exporter les justificatifs en PDF ou en capture, dans un dossier daté.</t>
        </is>
      </c>
    </row>
    <row r="38">
      <c r="A38" s="3" t="inlineStr">
        <is>
          <t>Plus aucune ligne jaune</t>
        </is>
      </c>
      <c r="B38" s="4" t="inlineStr">
        <is>
          <t>Tous les achats ont leur facture. Bordereau ERA n°507148 réglé en deux fois : 59,60 € le 28/07 et 24,00 € le 03/08/2026.</t>
        </is>
      </c>
    </row>
    <row r="39">
      <c r="A39" s="3" t="inlineStr">
        <is>
          <t>Défauts déclarés</t>
        </is>
      </c>
      <c r="B39" s="4" t="inlineStr">
        <is>
          <t>Deux pompes Robby portent un défaut mentionné au bordereau : socle cassé sur la ligne 122, mode manuel hors service sur la ligne 131. Le défaut se recopie dans l'annonce — un défaut caché se retourne contre le vendeur professionnel.</t>
        </is>
      </c>
    </row>
    <row r="40">
      <c r="A40" s="3" t="inlineStr">
        <is>
          <t>Import du Japon</t>
        </is>
      </c>
      <c r="B40" s="4" t="inlineStr">
        <is>
          <t>La facture Meccha Japan #FA429713 ne porte aucune TVA. Si La Poste a réclamé la TVA à 20 % et des frais de dossier à la livraison, ce montant s'ajoute au coût d'achat : le noter en ligne séparée.</t>
        </is>
      </c>
    </row>
    <row r="42">
      <c r="A42" s="2" t="inlineStr">
        <is>
          <t>OÙ VÉRIFIER</t>
        </is>
      </c>
    </row>
    <row r="43">
      <c r="A43" s="3" t="inlineStr">
        <is>
          <t>URSSAF</t>
        </is>
      </c>
      <c r="B43" s="4" t="inlineStr">
        <is>
          <t>autoentrepreneur.urssaf.fr · téléphone 3698</t>
        </is>
      </c>
    </row>
    <row r="44">
      <c r="A44" s="3" t="inlineStr">
        <is>
          <t>Obligations du commerçant</t>
        </is>
      </c>
      <c r="B44" s="4" t="inlineStr">
        <is>
          <t>entreprendre.service-public.fr</t>
        </is>
      </c>
    </row>
    <row r="45">
      <c r="A45" s="3" t="inlineStr">
        <is>
          <t>CGV et droit de la consommation</t>
        </is>
      </c>
      <c r="B45" s="4" t="inlineStr">
        <is>
          <t>DGCCRF — economie.gouv.fr/dgccrf</t>
        </is>
      </c>
    </row>
    <row r="46">
      <c r="A46" s="3" t="inlineStr">
        <is>
          <t>Conseil gratuit</t>
        </is>
      </c>
      <c r="B46"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135</v>
      </c>
      <c r="F6" s="11" t="inlineStr">
        <is>
          <t>Espèces</t>
        </is>
      </c>
      <c r="G6" s="11" t="inlineStr">
        <is>
          <t>Main propre</t>
        </is>
      </c>
      <c r="H6" s="11" t="inlineStr">
        <is>
          <t>Achat : FB2026-44194 lot n°9</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Achat : FB2026-43716 lot n°431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Achat : FB2026-6023 lot n°141</t>
        </is>
      </c>
      <c r="J8" s="2" t="inlineStr">
        <is>
          <t>EN ATTENTE D'ENCAISSEMENT</t>
        </is>
      </c>
    </row>
    <row r="9">
      <c r="A9" s="10">
        <f>IF(B9="","",ROW()-5)</f>
        <v/>
      </c>
      <c r="B9" s="11" t="inlineStr">
        <is>
          <t>09/08/2026</t>
        </is>
      </c>
      <c r="C9" s="11" t="inlineStr">
        <is>
          <t>Mme Aouimeur Siham</t>
        </is>
      </c>
      <c r="D9" s="11" t="inlineStr">
        <is>
          <t>Veste en jean ARMANI EXCHANGE T.S</t>
        </is>
      </c>
      <c r="E9" s="12" t="n">
        <v>40</v>
      </c>
      <c r="F9" s="11" t="inlineStr">
        <is>
          <t>Espèces</t>
        </is>
      </c>
      <c r="G9" s="11" t="inlineStr">
        <is>
          <t>Main propre</t>
        </is>
      </c>
      <c r="H9" s="11" t="inlineStr">
        <is>
          <t>Achat : FB2026-43717 lot n°168</t>
        </is>
      </c>
      <c r="J9" s="8" t="inlineStr">
        <is>
          <t>SALOMON X Ultra 5 Mid GTX P.44 — vendu le 12/08/2026</t>
        </is>
      </c>
      <c r="K9" s="13" t="n">
        <v>100</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J10" s="5" t="inlineStr">
        <is>
          <t>Fonds retenus par Vinted jusqu'à validation de la réception (Italie).</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J11" s="3" t="inlineStr">
        <is>
          <t>À BASCULER dans le registre le jour du virement, pas avant.</t>
        </is>
      </c>
    </row>
    <row r="12">
      <c r="A12" s="10">
        <f>IF(B12="","",ROW()-5)</f>
        <v/>
      </c>
      <c r="B12" s="11" t="n"/>
      <c r="C12" s="11" t="n"/>
      <c r="D12" s="11" t="n"/>
      <c r="E12" s="12" t="n"/>
      <c r="F12" s="11" t="n"/>
      <c r="G12" s="11" t="n"/>
      <c r="H12" s="11" t="n"/>
    </row>
    <row r="13">
      <c r="A13" s="10">
        <f>IF(B13="","",ROW()-5)</f>
        <v/>
      </c>
      <c r="B13" s="11" t="n"/>
      <c r="C13" s="11" t="n"/>
      <c r="D13" s="11" t="n"/>
      <c r="E13" s="12" t="n"/>
      <c r="F13" s="11" t="n"/>
      <c r="G13" s="11" t="n"/>
      <c r="H13" s="11" t="n"/>
      <c r="J13" s="2" t="inlineStr">
        <is>
          <t>DÉCLARATION URSSAF</t>
        </is>
      </c>
    </row>
    <row r="14">
      <c r="A14" s="10">
        <f>IF(B14="","",ROW()-5)</f>
        <v/>
      </c>
      <c r="B14" s="11" t="n"/>
      <c r="C14" s="11" t="n"/>
      <c r="D14" s="11" t="n"/>
      <c r="E14" s="12" t="n"/>
      <c r="F14" s="11" t="n"/>
      <c r="G14" s="11" t="n"/>
      <c r="H14" s="11" t="n"/>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493 € encaissés relèvent du 3e trimestre 2026 — déclaration avant le 31 octobre.</t>
        </is>
      </c>
    </row>
    <row r="18">
      <c r="A18" s="10">
        <f>IF(B18="","",ROW()-5)</f>
        <v/>
      </c>
      <c r="B18" s="11" t="n"/>
      <c r="C18" s="11" t="n"/>
      <c r="D18" s="11" t="n"/>
      <c r="E18" s="12" t="n"/>
      <c r="F18" s="11" t="n"/>
      <c r="G18" s="11" t="n"/>
      <c r="H18" s="11" t="n"/>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26/07/2026</t>
        </is>
      </c>
      <c r="J8" s="12" t="inlineStr"/>
      <c r="K8" s="11" t="inlineStr">
        <is>
          <t>Prélevée pour usage personnel, sans contrepartie — ne fonctionne qu'en mode automatique</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28</v>
      </c>
      <c r="K9" s="17" t="inlineStr">
        <is>
          <t>Sortie partielle : 2 paires sur 12 vendues sur Vinted à 14 € — 10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40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2" t="n">
        <v>75.59999999999999</v>
      </c>
      <c r="H16" s="11" t="inlineStr">
        <is>
          <t>Carte</t>
        </is>
      </c>
      <c r="I16" s="11" t="inlineStr"/>
      <c r="J16" s="12"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c r="J22" s="12"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135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03/08/2026</t>
        </is>
      </c>
      <c r="J39" s="12" t="inlineStr"/>
      <c r="K39" s="11" t="inlineStr">
        <is>
          <t>Prélevé pour usage personnel, sans contrepartie — invendable avec profit, marché 12,99 € pour un coût de 12,95 €</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2026-08-14T01:46:06Z</dcterms:created>
  <dcterms:modified xsi:type="dcterms:W3CDTF">2026-08-14T01:46:06Z</dcterms:modified>
</cp:coreProperties>
</file>