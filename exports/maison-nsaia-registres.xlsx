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achats'!$A$5:$G$348</definedName>
    <definedName name="_xlnm._FilterDatabase" localSheetId="3" hidden="1">'Objets mobiliers'!$A$5:$K$343</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4" fillId="3" borderId="1" pivotButton="0" quotePrefix="0" xfId="0"/>
    <xf numFmtId="164" fontId="5" fillId="3" borderId="1"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Le nom de l'acheteur pour chacune des sept ventes. Le reste est complet : espèces, main propre, dates du 09 et du 10/08/2026.</t>
        </is>
      </c>
    </row>
    <row r="31">
      <c r="A31" s="3" t="inlineStr">
        <is>
          <t>Ligne jaune</t>
        </is>
      </c>
      <c r="B31" s="4" t="inlineStr">
        <is>
          <t>Un seul achat sans facture : le lot n°84, 3 pompes Robby, 45 €. Reprendre la date et la référence dès réception.</t>
        </is>
      </c>
    </row>
    <row r="32">
      <c r="A32" s="3" t="inlineStr">
        <is>
          <t>Import du Japon</t>
        </is>
      </c>
      <c r="B32" s="4" t="inlineStr">
        <is>
          <t>La facture Meccha Japan #FA429713 ne porte aucune TVA. Si La Poste a réclamé la TVA à 20 % et des frais de dossier à la livraison, ce montant s'ajoute au coût d'achat : le noter en ligne séparée.</t>
        </is>
      </c>
    </row>
    <row r="34">
      <c r="A34" s="2" t="inlineStr">
        <is>
          <t>OÙ VÉRIFIER</t>
        </is>
      </c>
    </row>
    <row r="35">
      <c r="A35" s="3" t="inlineStr">
        <is>
          <t>URSSAF</t>
        </is>
      </c>
      <c r="B35" s="4" t="inlineStr">
        <is>
          <t>autoentrepreneur.urssaf.fr · téléphone 3698</t>
        </is>
      </c>
    </row>
    <row r="36">
      <c r="A36" s="3" t="inlineStr">
        <is>
          <t>Obligations du commerçant</t>
        </is>
      </c>
      <c r="B36" s="4" t="inlineStr">
        <is>
          <t>entreprendre.service-public.fr</t>
        </is>
      </c>
    </row>
    <row r="37">
      <c r="A37" s="3" t="inlineStr">
        <is>
          <t>CGV et droit de la consommation</t>
        </is>
      </c>
      <c r="B37" s="4" t="inlineStr">
        <is>
          <t>DGCCRF — economie.gouv.fr/dgccrf</t>
        </is>
      </c>
    </row>
    <row r="38">
      <c r="A38" s="3" t="inlineStr">
        <is>
          <t>Conseil gratuit</t>
        </is>
      </c>
      <c r="B38"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1" t="inlineStr">
        <is>
          <t>Espèces</t>
        </is>
      </c>
      <c r="G7" s="11" t="inlineStr">
        <is>
          <t>Main propre</t>
        </is>
      </c>
      <c r="H7" s="11" t="inlineStr">
        <is>
          <t>Achat : FB2026-43716 lot n°103</t>
        </is>
      </c>
    </row>
    <row r="8">
      <c r="A8" s="10">
        <f>IF(B8="","",ROW()-5)</f>
        <v/>
      </c>
      <c r="B8" s="11" t="inlineStr">
        <is>
          <t>09/08/2026</t>
        </is>
      </c>
      <c r="C8" s="12" t="inlineStr"/>
      <c r="D8" s="11" t="inlineStr">
        <is>
          <t>Sac demi-lune KARL LAGERFELD JEANS</t>
        </is>
      </c>
      <c r="E8" s="13" t="n">
        <v>70</v>
      </c>
      <c r="F8" s="11" t="inlineStr">
        <is>
          <t>Espèces</t>
        </is>
      </c>
      <c r="G8" s="11" t="inlineStr">
        <is>
          <t>Main propre</t>
        </is>
      </c>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1" t="inlineStr">
        <is>
          <t>Espèces</t>
        </is>
      </c>
      <c r="G9" s="11" t="inlineStr">
        <is>
          <t>Main propre</t>
        </is>
      </c>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1" t="inlineStr">
        <is>
          <t>Espèces</t>
        </is>
      </c>
      <c r="G10" s="11" t="inlineStr">
        <is>
          <t>Main propre</t>
        </is>
      </c>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1" t="inlineStr">
        <is>
          <t>Espèces</t>
        </is>
      </c>
      <c r="G11" s="11" t="inlineStr">
        <is>
          <t>Main propre</t>
        </is>
      </c>
      <c r="H11" s="11" t="inlineStr">
        <is>
          <t>Achat : FB2026-43717 lot n°168</t>
        </is>
      </c>
      <c r="J11" s="3" t="inlineStr">
        <is>
          <t>À BASCULER dans le registre le jour du virement, pas avant.</t>
        </is>
      </c>
    </row>
    <row r="12">
      <c r="A12" s="10">
        <f>IF(B12="","",ROW()-5)</f>
        <v/>
      </c>
      <c r="B12" s="11" t="inlineStr">
        <is>
          <t>10/08/2026</t>
        </is>
      </c>
      <c r="C12" s="12" t="inlineStr"/>
      <c r="D12" s="11" t="inlineStr">
        <is>
          <t>HAVAIANAS Slim — 2 paires à 14 €</t>
        </is>
      </c>
      <c r="E12" s="13" t="n">
        <v>28</v>
      </c>
      <c r="F12" s="11" t="inlineStr">
        <is>
          <t>Espèces</t>
        </is>
      </c>
      <c r="G12" s="11" t="inlineStr">
        <is>
          <t>Main propre</t>
        </is>
      </c>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c r="J17" s="5" t="inlineStr">
        <is>
          <t>Les 493 € encaissés relèvent du 3e trimestre 2026 — déclaration avant le 31 octobre.</t>
        </is>
      </c>
    </row>
    <row r="18">
      <c r="A18" s="10">
        <f>IF(B18="","",ROW()-5)</f>
        <v/>
      </c>
      <c r="B18" s="11" t="n"/>
      <c r="C18" s="11" t="n"/>
      <c r="D18" s="11" t="n"/>
      <c r="E18" s="13" t="n"/>
      <c r="F18" s="11" t="n"/>
      <c r="G18" s="11" t="n"/>
      <c r="H18" s="11" t="n"/>
    </row>
    <row r="19">
      <c r="A19" s="10">
        <f>IF(B19="","",ROW()-5)</f>
        <v/>
      </c>
      <c r="B19" s="11" t="n"/>
      <c r="C19" s="11" t="n"/>
      <c r="D19" s="11" t="n"/>
      <c r="E19" s="13" t="n"/>
      <c r="F19" s="11" t="n"/>
      <c r="G19" s="11" t="n"/>
      <c r="H19" s="11" t="n"/>
      <c r="J19" s="2" t="inlineStr">
        <is>
          <t>VENTES EN ESPÈCES — CE QU'IL FAUT GARDER</t>
        </is>
      </c>
    </row>
    <row r="20">
      <c r="A20" s="10">
        <f>IF(B20="","",ROW()-5)</f>
        <v/>
      </c>
      <c r="B20" s="11" t="n"/>
      <c r="C20" s="11" t="n"/>
      <c r="D20" s="11" t="n"/>
      <c r="E20" s="13" t="n"/>
      <c r="F20" s="11" t="n"/>
      <c r="G20" s="11" t="n"/>
      <c r="H20" s="11" t="n"/>
      <c r="J20" s="5" t="inlineStr">
        <is>
          <t>Légal sans limite entre un professionnel et un particulier résidant en France jusqu'à 1 000 €</t>
        </is>
      </c>
    </row>
    <row r="21">
      <c r="A21" s="10">
        <f>IF(B21="","",ROW()-5)</f>
        <v/>
      </c>
      <c r="B21" s="11" t="n"/>
      <c r="C21" s="11" t="n"/>
      <c r="D21" s="11" t="n"/>
      <c r="E21" s="13" t="n"/>
      <c r="F21" s="11" t="n"/>
      <c r="G21" s="11" t="n"/>
      <c r="H21" s="11" t="n"/>
      <c r="J21" s="5" t="inlineStr">
        <is>
          <t>par transaction (art. L112-6 du code monétaire et financier). Toutes les ventes sont loin du seuil.</t>
        </is>
      </c>
    </row>
    <row r="22">
      <c r="A22" s="10">
        <f>IF(B22="","",ROW()-5)</f>
        <v/>
      </c>
      <c r="B22" s="11" t="n"/>
      <c r="C22" s="11" t="n"/>
      <c r="D22" s="11" t="n"/>
      <c r="E22" s="13" t="n"/>
      <c r="F22" s="11" t="n"/>
      <c r="G22" s="11" t="n"/>
      <c r="H22" s="11" t="n"/>
      <c r="J22" s="5" t="inlineStr"/>
    </row>
    <row r="23">
      <c r="A23" s="10">
        <f>IF(B23="","",ROW()-5)</f>
        <v/>
      </c>
      <c r="B23" s="11" t="n"/>
      <c r="C23" s="11" t="n"/>
      <c r="D23" s="11" t="n"/>
      <c r="E23" s="13" t="n"/>
      <c r="F23" s="11" t="n"/>
      <c r="G23" s="11" t="n"/>
      <c r="H23" s="11" t="n"/>
      <c r="J23" s="5" t="inlineStr">
        <is>
          <t>La preuve d'une vente en espèces, c'est le registre plus le dépôt bancaire. Trois réflexes :</t>
        </is>
      </c>
    </row>
    <row r="24">
      <c r="A24" s="10">
        <f>IF(B24="","",ROW()-5)</f>
        <v/>
      </c>
      <c r="B24" s="11" t="n"/>
      <c r="C24" s="11" t="n"/>
      <c r="D24" s="11" t="n"/>
      <c r="E24" s="13" t="n"/>
      <c r="F24" s="11" t="n"/>
      <c r="G24" s="11" t="n"/>
      <c r="H24" s="11" t="n"/>
      <c r="J24" s="5" t="inlineStr">
        <is>
          <t xml:space="preserve">  1. Une note de vente par transaction — date, article, prix, nom de l'acheteur. Un carnet suffit.</t>
        </is>
      </c>
    </row>
    <row r="25">
      <c r="A25" s="10">
        <f>IF(B25="","",ROW()-5)</f>
        <v/>
      </c>
      <c r="B25" s="11" t="n"/>
      <c r="C25" s="11" t="n"/>
      <c r="D25" s="11" t="n"/>
      <c r="E25" s="13"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3" t="n"/>
      <c r="F26" s="11" t="n"/>
      <c r="G26" s="11" t="n"/>
      <c r="H26" s="11" t="n"/>
      <c r="J26" s="5" t="inlineStr">
        <is>
          <t xml:space="preserve">  3. Déposer par montants qui recoupent le registre, pour que le relevé confirme les lignes.</t>
        </is>
      </c>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8"/>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SUM(E6:E348)</f>
        <v/>
      </c>
    </row>
    <row r="4">
      <c r="I4" s="8" t="inlineStr">
        <is>
          <t>dont marchandise</t>
        </is>
      </c>
      <c r="J4" s="14">
        <f>SUMIF(D6:D348,"&lt;&gt;Frais d'expédition*",E6:E348)</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SUMIF(D6:D348,"Frais d'expédition*",E6:E348)</f>
        <v/>
      </c>
    </row>
    <row r="6">
      <c r="A6" s="10">
        <f>IF(B6="","",ROW()-5)</f>
        <v/>
      </c>
      <c r="B6" s="11" t="inlineStr">
        <is>
          <t>28/07/2026</t>
        </is>
      </c>
      <c r="C6" s="11" t="inlineStr">
        <is>
          <t>ADN Enchères — Lyon</t>
        </is>
      </c>
      <c r="D6" s="11" t="inlineStr">
        <is>
          <t>Lot n°120 — Lot de 12 paires de tongs HAVAIANAS fuchsia 35/36 — neuf</t>
        </is>
      </c>
      <c r="E6" s="13" t="n">
        <v>100.8</v>
      </c>
      <c r="F6" s="11" t="inlineStr">
        <is>
          <t>Carte</t>
        </is>
      </c>
      <c r="G6" s="11" t="inlineStr">
        <is>
          <t>FB2026-5844 · bordereau TLE-428-5</t>
        </is>
      </c>
    </row>
    <row r="7">
      <c r="A7" s="10">
        <f>IF(B7="","",ROW()-5)</f>
        <v/>
      </c>
      <c r="B7" s="11" t="inlineStr">
        <is>
          <t>28/07/2026</t>
        </is>
      </c>
      <c r="C7" s="11" t="inlineStr">
        <is>
          <t>ADN Enchères — Le Mans</t>
        </is>
      </c>
      <c r="D7" s="11" t="inlineStr">
        <is>
          <t>Lot n°168 — Veste en jean ARMANI EXCHANGE T.S — neuve</t>
        </is>
      </c>
      <c r="E7" s="13" t="n">
        <v>25.2</v>
      </c>
      <c r="F7" s="11" t="inlineStr">
        <is>
          <t>Carte</t>
        </is>
      </c>
      <c r="G7" s="11" t="inlineStr">
        <is>
          <t>FB2026-43717 · bordereau ADN-1708-87</t>
        </is>
      </c>
      <c r="I7" s="8" t="inlineStr">
        <is>
          <t>Lots de marchandise inscrits</t>
        </is>
      </c>
      <c r="J7" s="8" t="n">
        <v>38</v>
      </c>
    </row>
    <row r="8">
      <c r="A8" s="10">
        <f>IF(B8="","",ROW()-5)</f>
        <v/>
      </c>
      <c r="B8" s="11" t="inlineStr">
        <is>
          <t>28/07/2026</t>
        </is>
      </c>
      <c r="C8" s="11" t="inlineStr">
        <is>
          <t>ADN Enchères — Le Mans</t>
        </is>
      </c>
      <c r="D8" s="11" t="inlineStr">
        <is>
          <t>Lot n°303 — Lot de 4 gilets de flottaison MRS.ERTHA 3-6 ans — neuf</t>
        </is>
      </c>
      <c r="E8" s="13" t="n">
        <v>37.8</v>
      </c>
      <c r="F8" s="11" t="inlineStr">
        <is>
          <t>Carte</t>
        </is>
      </c>
      <c r="G8" s="11" t="inlineStr">
        <is>
          <t>FB2026-43717 · bordereau ADN-1708-87</t>
        </is>
      </c>
      <c r="I8" s="8" t="inlineStr">
        <is>
          <t>Lignes à compléter — fond jaune</t>
        </is>
      </c>
      <c r="J8" s="15" t="n">
        <v>1</v>
      </c>
    </row>
    <row r="9">
      <c r="A9" s="10">
        <f>IF(B9="","",ROW()-5)</f>
        <v/>
      </c>
      <c r="B9" s="11" t="inlineStr">
        <is>
          <t>28/07/2026</t>
        </is>
      </c>
      <c r="C9" s="11" t="inlineStr">
        <is>
          <t>ADN Enchères — Le Mans</t>
        </is>
      </c>
      <c r="D9" s="11" t="inlineStr">
        <is>
          <t>Lot n°7 — Robe SANDRO T.40 — neuve</t>
        </is>
      </c>
      <c r="E9" s="13" t="n">
        <v>37.8</v>
      </c>
      <c r="F9" s="11" t="inlineStr">
        <is>
          <t>Carte</t>
        </is>
      </c>
      <c r="G9" s="11" t="inlineStr">
        <is>
          <t>FB2026-43716 · bordereau ADN-1707-5</t>
        </is>
      </c>
    </row>
    <row r="10">
      <c r="A10" s="10">
        <f>IF(B10="","",ROW()-5)</f>
        <v/>
      </c>
      <c r="B10" s="11" t="inlineStr">
        <is>
          <t>28/07/2026</t>
        </is>
      </c>
      <c r="C10" s="11" t="inlineStr">
        <is>
          <t>ADN Enchères — Le Mans</t>
        </is>
      </c>
      <c r="D10" s="11" t="inlineStr">
        <is>
          <t>Lot n°103 — Baskets HOKA P.37 1/3 — neuves</t>
        </is>
      </c>
      <c r="E10" s="13" t="n">
        <v>63</v>
      </c>
      <c r="F10" s="11" t="inlineStr">
        <is>
          <t>Carte</t>
        </is>
      </c>
      <c r="G10" s="11" t="inlineStr">
        <is>
          <t>FB2026-43716 · bordereau ADN-1707-5</t>
        </is>
      </c>
    </row>
    <row r="11">
      <c r="A11" s="10">
        <f>IF(B11="","",ROW()-5)</f>
        <v/>
      </c>
      <c r="B11" s="11" t="inlineStr">
        <is>
          <t>28/07/2026</t>
        </is>
      </c>
      <c r="C11" s="11" t="inlineStr">
        <is>
          <t>ADN Enchères — Le Mans</t>
        </is>
      </c>
      <c r="D11" s="11" t="inlineStr">
        <is>
          <t>Lot n°170 — Baskets NIKE Air Max Moto 2K P.44.5 — neuves</t>
        </is>
      </c>
      <c r="E11" s="13" t="n">
        <v>50.4</v>
      </c>
      <c r="F11" s="11" t="inlineStr">
        <is>
          <t>Carte</t>
        </is>
      </c>
      <c r="G11" s="11" t="inlineStr">
        <is>
          <t>FB2026-43716 · bordereau ADN-1707-5</t>
        </is>
      </c>
    </row>
    <row r="12">
      <c r="A12" s="10">
        <f>IF(B12="","",ROW()-5)</f>
        <v/>
      </c>
      <c r="B12" s="11" t="inlineStr">
        <is>
          <t>28/07/2026</t>
        </is>
      </c>
      <c r="C12" s="11" t="inlineStr">
        <is>
          <t>ADN Enchères — Le Mans</t>
        </is>
      </c>
      <c r="D12" s="11" t="inlineStr">
        <is>
          <t>Lot n°191 — Chaussures HOGAN P.36 — traces d'essayage</t>
        </is>
      </c>
      <c r="E12" s="13" t="n">
        <v>12.6</v>
      </c>
      <c r="F12" s="11" t="inlineStr">
        <is>
          <t>Carte</t>
        </is>
      </c>
      <c r="G12" s="11" t="inlineStr">
        <is>
          <t>FB2026-43716 · bordereau ADN-1707-5</t>
        </is>
      </c>
    </row>
    <row r="13">
      <c r="A13" s="10">
        <f>IF(B13="","",ROW()-5)</f>
        <v/>
      </c>
      <c r="B13" s="11" t="inlineStr">
        <is>
          <t>28/07/2026</t>
        </is>
      </c>
      <c r="C13" s="11" t="inlineStr">
        <is>
          <t>ADN Enchères — Le Mans</t>
        </is>
      </c>
      <c r="D13" s="11" t="inlineStr">
        <is>
          <t>Lot n°199 — NEW BALANCE G19064IK Alkaline Green P.38½ — neuves avec boîte</t>
        </is>
      </c>
      <c r="E13" s="13" t="n">
        <v>75.59999999999999</v>
      </c>
      <c r="F13" s="11" t="inlineStr">
        <is>
          <t>Carte</t>
        </is>
      </c>
      <c r="G13" s="11" t="inlineStr">
        <is>
          <t>FB2026-43716 · bordereau ADN-1707-5</t>
        </is>
      </c>
    </row>
    <row r="14">
      <c r="A14" s="10">
        <f>IF(B14="","",ROW()-5)</f>
        <v/>
      </c>
      <c r="B14" s="11" t="inlineStr">
        <is>
          <t>28/07/2026</t>
        </is>
      </c>
      <c r="C14" s="11" t="inlineStr">
        <is>
          <t>ADN Enchères — Le Mans</t>
        </is>
      </c>
      <c r="D14" s="11" t="inlineStr">
        <is>
          <t>Lot n°357 — Lot de 2 paires ADIDAS Predator Edge P.48 2/3 — neuves</t>
        </is>
      </c>
      <c r="E14" s="13" t="n">
        <v>37.8</v>
      </c>
      <c r="F14" s="11" t="inlineStr">
        <is>
          <t>Carte</t>
        </is>
      </c>
      <c r="G14" s="11" t="inlineStr">
        <is>
          <t>FB2026-43716 · bordereau ADN-1707-5</t>
        </is>
      </c>
    </row>
    <row r="15">
      <c r="A15" s="10">
        <f>IF(B15="","",ROW()-5)</f>
        <v/>
      </c>
      <c r="B15" s="11" t="inlineStr">
        <is>
          <t>28/07/2026</t>
        </is>
      </c>
      <c r="C15" s="11" t="inlineStr">
        <is>
          <t>ADN Enchères — Le Mans</t>
        </is>
      </c>
      <c r="D15" s="11" t="inlineStr">
        <is>
          <t>Lot n°408 — Short BA&amp;SH Fegor T.34 — neuf</t>
        </is>
      </c>
      <c r="E15" s="13" t="n">
        <v>50.4</v>
      </c>
      <c r="F15" s="11" t="inlineStr">
        <is>
          <t>Carte</t>
        </is>
      </c>
      <c r="G15" s="11" t="inlineStr">
        <is>
          <t>FB2026-43716 · bordereau ADN-1707-5</t>
        </is>
      </c>
    </row>
    <row r="16">
      <c r="A16" s="10">
        <f>IF(B16="","",ROW()-5)</f>
        <v/>
      </c>
      <c r="B16" s="11" t="inlineStr">
        <is>
          <t>28/07/2026</t>
        </is>
      </c>
      <c r="C16" s="11" t="inlineStr">
        <is>
          <t>ADN Enchères — Le Mans</t>
        </is>
      </c>
      <c r="D16" s="11" t="inlineStr">
        <is>
          <t>Lot n°417 — Jupe midi SONIA RYKIEL T.34 — neuve</t>
        </is>
      </c>
      <c r="E16" s="13" t="n">
        <v>37.8</v>
      </c>
      <c r="F16" s="11" t="inlineStr">
        <is>
          <t>Carte</t>
        </is>
      </c>
      <c r="G16" s="11" t="inlineStr">
        <is>
          <t>FB2026-43716 · bordereau ADN-1707-5</t>
        </is>
      </c>
    </row>
    <row r="17">
      <c r="A17" s="10">
        <f>IF(B17="","",ROW()-5)</f>
        <v/>
      </c>
      <c r="B17" s="11" t="inlineStr">
        <is>
          <t>28/07/2026</t>
        </is>
      </c>
      <c r="C17" s="11" t="inlineStr">
        <is>
          <t>ADN Enchères — Le Mans</t>
        </is>
      </c>
      <c r="D17" s="11" t="inlineStr">
        <is>
          <t>Lot n°431 — Sac demi-lune nylon noir KARL LAGERFELD JEANS — neuf avec étiquette</t>
        </is>
      </c>
      <c r="E17" s="13" t="n">
        <v>50.4</v>
      </c>
      <c r="F17" s="11" t="inlineStr">
        <is>
          <t>Carte</t>
        </is>
      </c>
      <c r="G17" s="11" t="inlineStr">
        <is>
          <t>FB2026-43716 · bordereau ADN-1707-5</t>
        </is>
      </c>
    </row>
    <row r="18">
      <c r="A18" s="10">
        <f>IF(B18="","",ROW()-5)</f>
        <v/>
      </c>
      <c r="B18" s="11" t="inlineStr">
        <is>
          <t>28/07/2026</t>
        </is>
      </c>
      <c r="C18" s="11" t="inlineStr">
        <is>
          <t>ADN Enchères — Le Mans</t>
        </is>
      </c>
      <c r="D18" s="11" t="inlineStr">
        <is>
          <t>Lot n°434 — ADIDAS x STELLA McCARTNEY ASMC Ultraboost 21 P.36 — modèle d'exposition</t>
        </is>
      </c>
      <c r="E18" s="13" t="n">
        <v>37.8</v>
      </c>
      <c r="F18" s="11" t="inlineStr">
        <is>
          <t>Carte</t>
        </is>
      </c>
      <c r="G18" s="11" t="inlineStr">
        <is>
          <t>FB2026-43716 · bordereau ADN-1707-5</t>
        </is>
      </c>
    </row>
    <row r="19">
      <c r="A19" s="10">
        <f>IF(B19="","",ROW()-5)</f>
        <v/>
      </c>
      <c r="B19" s="11" t="inlineStr">
        <is>
          <t>28/07/2026</t>
        </is>
      </c>
      <c r="C19" s="11" t="inlineStr">
        <is>
          <t>ADN Enchères — Le Mans</t>
        </is>
      </c>
      <c r="D19" s="11" t="inlineStr">
        <is>
          <t>Lot n°439 — Ballerines MASSIMO DUTTI P.41 — traces d'essayage</t>
        </is>
      </c>
      <c r="E19" s="13" t="n">
        <v>25.2</v>
      </c>
      <c r="F19" s="11" t="inlineStr">
        <is>
          <t>Carte</t>
        </is>
      </c>
      <c r="G19" s="11" t="inlineStr">
        <is>
          <t>FB2026-43716 · bordereau ADN-1707-5</t>
        </is>
      </c>
    </row>
    <row r="20">
      <c r="A20" s="10">
        <f>IF(B20="","",ROW()-5)</f>
        <v/>
      </c>
      <c r="B20" s="11" t="inlineStr">
        <is>
          <t>28/07/2026</t>
        </is>
      </c>
      <c r="C20" s="11" t="inlineStr">
        <is>
          <t>ADN Enchères — Lyon</t>
        </is>
      </c>
      <c r="D20" s="11" t="inlineStr">
        <is>
          <t>Frais d'expédition — Colissimo Point Relais — assurance et signature</t>
        </is>
      </c>
      <c r="E20" s="13" t="n">
        <v>19.9</v>
      </c>
      <c r="F20" s="11" t="inlineStr">
        <is>
          <t>Carte</t>
        </is>
      </c>
      <c r="G20" s="11" t="inlineStr">
        <is>
          <t>FF2026-4060 · TLE-C26638</t>
        </is>
      </c>
    </row>
    <row r="21">
      <c r="A21" s="10">
        <f>IF(B21="","",ROW()-5)</f>
        <v/>
      </c>
      <c r="B21" s="11" t="inlineStr">
        <is>
          <t>03/08/2026</t>
        </is>
      </c>
      <c r="C21" s="11" t="inlineStr">
        <is>
          <t>ADN Enchères — Lyon</t>
        </is>
      </c>
      <c r="D21" s="11" t="inlineStr">
        <is>
          <t>Lot n°114 — NEW BALANCE sneakers P.38 — neuves</t>
        </is>
      </c>
      <c r="E21" s="13" t="n">
        <v>38.34</v>
      </c>
      <c r="F21" s="11" t="inlineStr">
        <is>
          <t>Carte</t>
        </is>
      </c>
      <c r="G21" s="11" t="inlineStr">
        <is>
          <t>FB2026-6023 · bordereau TLE-433-22</t>
        </is>
      </c>
    </row>
    <row r="22">
      <c r="A22" s="10">
        <f>IF(B22="","",ROW()-5)</f>
        <v/>
      </c>
      <c r="B22" s="11" t="inlineStr">
        <is>
          <t>03/08/2026</t>
        </is>
      </c>
      <c r="C22" s="11" t="inlineStr">
        <is>
          <t>ADN Enchères — Lyon</t>
        </is>
      </c>
      <c r="D22" s="11" t="inlineStr">
        <is>
          <t>Lot n°141 — LACOSTE sneakers P.42 — neuves</t>
        </is>
      </c>
      <c r="E22" s="13" t="n">
        <v>57.51</v>
      </c>
      <c r="F22" s="11" t="inlineStr">
        <is>
          <t>Carte</t>
        </is>
      </c>
      <c r="G22" s="11" t="inlineStr">
        <is>
          <t>FB2026-6023 · bordereau TLE-433-22</t>
        </is>
      </c>
    </row>
    <row r="23">
      <c r="A23" s="10">
        <f>IF(B23="","",ROW()-5)</f>
        <v/>
      </c>
      <c r="B23" s="11" t="inlineStr">
        <is>
          <t>03/08/2026</t>
        </is>
      </c>
      <c r="C23" s="11" t="inlineStr">
        <is>
          <t>ADN Enchères — Lyon</t>
        </is>
      </c>
      <c r="D23" s="11" t="inlineStr">
        <is>
          <t>Lot n°150 — EMPORIO ARMANI baskets P.36 — neuves</t>
        </is>
      </c>
      <c r="E23" s="13" t="n">
        <v>51.12</v>
      </c>
      <c r="F23" s="11" t="inlineStr">
        <is>
          <t>Carte</t>
        </is>
      </c>
      <c r="G23" s="11" t="inlineStr">
        <is>
          <t>FB2026-6023 · bordereau TLE-433-22</t>
        </is>
      </c>
    </row>
    <row r="24">
      <c r="A24" s="10">
        <f>IF(B24="","",ROW()-5)</f>
        <v/>
      </c>
      <c r="B24" s="11" t="inlineStr">
        <is>
          <t>03/08/2026</t>
        </is>
      </c>
      <c r="C24" s="11" t="inlineStr">
        <is>
          <t>ADN Enchères — Lyon</t>
        </is>
      </c>
      <c r="D24" s="11" t="inlineStr">
        <is>
          <t>Lot n°155 — GEOX baskets P.35 — neuves</t>
        </is>
      </c>
      <c r="E24" s="13" t="n">
        <v>21.73</v>
      </c>
      <c r="F24" s="11" t="inlineStr">
        <is>
          <t>Carte</t>
        </is>
      </c>
      <c r="G24" s="11" t="inlineStr">
        <is>
          <t>FB2026-6023 · bordereau TLE-433-22</t>
        </is>
      </c>
    </row>
    <row r="25">
      <c r="A25" s="10">
        <f>IF(B25="","",ROW()-5)</f>
        <v/>
      </c>
      <c r="B25" s="11" t="inlineStr">
        <is>
          <t>03/08/2026</t>
        </is>
      </c>
      <c r="C25" s="11" t="inlineStr">
        <is>
          <t>ADN Enchères — Lyon</t>
        </is>
      </c>
      <c r="D25" s="11" t="inlineStr">
        <is>
          <t>Lot n°156 — NEW BALANCE baskets montantes P.44 — neuves</t>
        </is>
      </c>
      <c r="E25" s="13" t="n">
        <v>51.12</v>
      </c>
      <c r="F25" s="11" t="inlineStr">
        <is>
          <t>Carte</t>
        </is>
      </c>
      <c r="G25" s="11" t="inlineStr">
        <is>
          <t>FB2026-6023 · bordereau TLE-433-22</t>
        </is>
      </c>
    </row>
    <row r="26">
      <c r="A26" s="10">
        <f>IF(B26="","",ROW()-5)</f>
        <v/>
      </c>
      <c r="B26" s="11" t="inlineStr">
        <is>
          <t>03/08/2026</t>
        </is>
      </c>
      <c r="C26" s="11" t="inlineStr">
        <is>
          <t>ADN Enchères — Lyon</t>
        </is>
      </c>
      <c r="D26" s="11" t="inlineStr">
        <is>
          <t>Lot n°158 — TOMMY JEANS baskets basses P.40 — neuves</t>
        </is>
      </c>
      <c r="E26" s="13" t="n">
        <v>52.4</v>
      </c>
      <c r="F26" s="11" t="inlineStr">
        <is>
          <t>Carte</t>
        </is>
      </c>
      <c r="G26" s="11" t="inlineStr">
        <is>
          <t>FB2026-6023 · bordereau TLE-433-22</t>
        </is>
      </c>
    </row>
    <row r="27">
      <c r="A27" s="10">
        <f>IF(B27="","",ROW()-5)</f>
        <v/>
      </c>
      <c r="B27" s="11" t="inlineStr">
        <is>
          <t>03/08/2026</t>
        </is>
      </c>
      <c r="C27" s="11" t="inlineStr">
        <is>
          <t>ADN Enchères — Lyon</t>
        </is>
      </c>
      <c r="D27" s="11" t="inlineStr">
        <is>
          <t>Lot n°159 — PHILIPP PLEIN SPORT baskets montantes P.40 — neuves</t>
        </is>
      </c>
      <c r="E27" s="13" t="n">
        <v>57.51</v>
      </c>
      <c r="F27" s="11" t="inlineStr">
        <is>
          <t>Carte</t>
        </is>
      </c>
      <c r="G27" s="11" t="inlineStr">
        <is>
          <t>FB2026-6023 · bordereau TLE-433-22</t>
        </is>
      </c>
    </row>
    <row r="28">
      <c r="A28" s="10">
        <f>IF(B28="","",ROW()-5)</f>
        <v/>
      </c>
      <c r="B28" s="11" t="inlineStr">
        <is>
          <t>03/08/2026</t>
        </is>
      </c>
      <c r="C28" s="11" t="inlineStr">
        <is>
          <t>ADN Enchères — Lyon</t>
        </is>
      </c>
      <c r="D28" s="11" t="inlineStr">
        <is>
          <t>Lot n°29 — PIER ANTONIO GASPARI robe droite bleu marine T.42 — neuve</t>
        </is>
      </c>
      <c r="E28" s="13" t="n">
        <v>25.56</v>
      </c>
      <c r="F28" s="11" t="inlineStr">
        <is>
          <t>Carte</t>
        </is>
      </c>
      <c r="G28" s="11" t="inlineStr">
        <is>
          <t>FB2026-5996 · bordereau TLE-429-32</t>
        </is>
      </c>
    </row>
    <row r="29">
      <c r="A29" s="10">
        <f>IF(B29="","",ROW()-5)</f>
        <v/>
      </c>
      <c r="B29" s="11" t="inlineStr">
        <is>
          <t>03/08/2026</t>
        </is>
      </c>
      <c r="C29" s="11" t="inlineStr">
        <is>
          <t>ADN Enchères — Lyon</t>
        </is>
      </c>
      <c r="D29" s="11" t="inlineStr">
        <is>
          <t>Lot n°32 — ELISABETTA FRANCHI robe asymétrique viscose T.46 IT — neuve</t>
        </is>
      </c>
      <c r="E29" s="13" t="n">
        <v>20.45</v>
      </c>
      <c r="F29" s="11" t="inlineStr">
        <is>
          <t>Carte</t>
        </is>
      </c>
      <c r="G29" s="11" t="inlineStr">
        <is>
          <t>FB2026-5996 · bordereau TLE-429-32</t>
        </is>
      </c>
    </row>
    <row r="30">
      <c r="A30" s="10">
        <f>IF(B30="","",ROW()-5)</f>
        <v/>
      </c>
      <c r="B30" s="11" t="inlineStr">
        <is>
          <t>03/08/2026</t>
        </is>
      </c>
      <c r="C30" s="11" t="inlineStr">
        <is>
          <t>ADN Enchères — Lyon</t>
        </is>
      </c>
      <c r="D30" s="11" t="inlineStr">
        <is>
          <t>Lot n°123 — CHIARA FERRAGNI robe bustier courte T.M — neuve</t>
        </is>
      </c>
      <c r="E30" s="13" t="n">
        <v>31.95</v>
      </c>
      <c r="F30" s="11" t="inlineStr">
        <is>
          <t>Carte</t>
        </is>
      </c>
      <c r="G30" s="11" t="inlineStr">
        <is>
          <t>FB2026-5996 · bordereau TLE-429-32</t>
        </is>
      </c>
    </row>
    <row r="31">
      <c r="A31" s="10">
        <f>IF(B31="","",ROW()-5)</f>
        <v/>
      </c>
      <c r="B31" s="11" t="inlineStr">
        <is>
          <t>03/08/2026</t>
        </is>
      </c>
      <c r="C31" s="11" t="inlineStr">
        <is>
          <t>ADN Enchères — Le Mans</t>
        </is>
      </c>
      <c r="D31" s="11" t="inlineStr">
        <is>
          <t>Lot n°11 — SALOMON X Ultra 5 Mid GTX P.44 — neuves</t>
        </is>
      </c>
      <c r="E31" s="13" t="n">
        <v>76.68000000000001</v>
      </c>
      <c r="F31" s="11" t="inlineStr">
        <is>
          <t>Carte</t>
        </is>
      </c>
      <c r="G31" s="11" t="inlineStr">
        <is>
          <t>FB2026-44192 · bordereau ADN-1711-8</t>
        </is>
      </c>
    </row>
    <row r="32">
      <c r="A32" s="10">
        <f>IF(B32="","",ROW()-5)</f>
        <v/>
      </c>
      <c r="B32" s="11" t="inlineStr">
        <is>
          <t>03/08/2026</t>
        </is>
      </c>
      <c r="C32" s="11" t="inlineStr">
        <is>
          <t>ADN Enchères — Le Mans</t>
        </is>
      </c>
      <c r="D32" s="11" t="inlineStr">
        <is>
          <t>Lot n°159 — Lot de 4 toupies BEYBLADE HASBRO</t>
        </is>
      </c>
      <c r="E32" s="13" t="n">
        <v>19.17</v>
      </c>
      <c r="F32" s="11" t="inlineStr">
        <is>
          <t>Carte</t>
        </is>
      </c>
      <c r="G32" s="11" t="inlineStr">
        <is>
          <t>FB2026-44192 · bordereau ADN-1711-8</t>
        </is>
      </c>
    </row>
    <row r="33">
      <c r="A33" s="10">
        <f>IF(B33="","",ROW()-5)</f>
        <v/>
      </c>
      <c r="B33" s="11" t="inlineStr">
        <is>
          <t>03/08/2026</t>
        </is>
      </c>
      <c r="C33" s="11" t="inlineStr">
        <is>
          <t>ADN Enchères — Le Mans</t>
        </is>
      </c>
      <c r="D33" s="11" t="inlineStr">
        <is>
          <t>Lot n°299 — Lot de 4 toupies BEYBLADE HASBRO</t>
        </is>
      </c>
      <c r="E33" s="13" t="n">
        <v>38.34</v>
      </c>
      <c r="F33" s="11" t="inlineStr">
        <is>
          <t>Carte</t>
        </is>
      </c>
      <c r="G33" s="11" t="inlineStr">
        <is>
          <t>FB2026-44192 · bordereau ADN-1711-8</t>
        </is>
      </c>
    </row>
    <row r="34">
      <c r="A34" s="10">
        <f>IF(B34="","",ROW()-5)</f>
        <v/>
      </c>
      <c r="B34" s="11" t="inlineStr">
        <is>
          <t>03/08/2026</t>
        </is>
      </c>
      <c r="C34" s="11" t="inlineStr">
        <is>
          <t>ADN Enchères — Le Mans</t>
        </is>
      </c>
      <c r="D34" s="11" t="inlineStr">
        <is>
          <t>Lot n°9 — T-shirt BALENCIAGA T.2 — neuf</t>
        </is>
      </c>
      <c r="E34" s="13" t="n">
        <v>113.4</v>
      </c>
      <c r="F34" s="11" t="inlineStr">
        <is>
          <t>Carte</t>
        </is>
      </c>
      <c r="G34" s="11" t="inlineStr">
        <is>
          <t>FB2026-44194 · bordereau ADN-1712-6</t>
        </is>
      </c>
    </row>
    <row r="35">
      <c r="A35" s="10">
        <f>IF(B35="","",ROW()-5)</f>
        <v/>
      </c>
      <c r="B35" s="11" t="inlineStr">
        <is>
          <t>03/08/2026</t>
        </is>
      </c>
      <c r="C35" s="11" t="inlineStr">
        <is>
          <t>ADN Enchères — Le Mans</t>
        </is>
      </c>
      <c r="D35" s="11" t="inlineStr">
        <is>
          <t>Lot n°229 — Blazer noir KARL LAGERFELD T.36 FR — neuf avec étiquette</t>
        </is>
      </c>
      <c r="E35" s="13" t="n">
        <v>50.4</v>
      </c>
      <c r="F35" s="11" t="inlineStr">
        <is>
          <t>Carte</t>
        </is>
      </c>
      <c r="G35" s="11" t="inlineStr">
        <is>
          <t>FB2026-44194 · bordereau ADN-1712-6</t>
        </is>
      </c>
    </row>
    <row r="36">
      <c r="A36" s="10">
        <f>IF(B36="","",ROW()-5)</f>
        <v/>
      </c>
      <c r="B36" s="11" t="inlineStr">
        <is>
          <t>03/08/2026</t>
        </is>
      </c>
      <c r="C36" s="11" t="inlineStr">
        <is>
          <t>Meccha Japan</t>
        </is>
      </c>
      <c r="D36" s="11" t="inlineStr">
        <is>
          <t>Booster Box Pokémon MEGA Nihil Zero (Munikis Zero) M3 — 30 boosters</t>
        </is>
      </c>
      <c r="E36" s="13" t="n">
        <v>69.23999999999999</v>
      </c>
      <c r="F36" s="11" t="inlineStr">
        <is>
          <t>Carte</t>
        </is>
      </c>
      <c r="G36" s="11" t="inlineStr">
        <is>
          <t>#FA429713 · commande DVGGUEEHC</t>
        </is>
      </c>
    </row>
    <row r="37">
      <c r="A37" s="10">
        <f>IF(B37="","",ROW()-5)</f>
        <v/>
      </c>
      <c r="B37" s="11" t="inlineStr">
        <is>
          <t>03/08/2026</t>
        </is>
      </c>
      <c r="C37" s="11" t="inlineStr">
        <is>
          <t>Meccha Japan</t>
        </is>
      </c>
      <c r="D37" s="11" t="inlineStr">
        <is>
          <t>Booster Pokémon High Class Pack MEGA Dream ex M2a — 10 cartes</t>
        </is>
      </c>
      <c r="E37" s="13" t="n">
        <v>12.95</v>
      </c>
      <c r="F37" s="11" t="inlineStr">
        <is>
          <t>Carte</t>
        </is>
      </c>
      <c r="G37" s="11" t="inlineStr">
        <is>
          <t>#FA429713 · commande DVGGUEEHC</t>
        </is>
      </c>
    </row>
    <row r="38">
      <c r="A38" s="10">
        <f>IF(B38="","",ROW()-5)</f>
        <v/>
      </c>
      <c r="B38" s="11" t="inlineStr">
        <is>
          <t>03/08/2026</t>
        </is>
      </c>
      <c r="C38" s="11" t="inlineStr">
        <is>
          <t>Meccha Japan</t>
        </is>
      </c>
      <c r="D38" s="11" t="inlineStr">
        <is>
          <t>Boosters Pokémon MEGA Storm Emeralda M6 ×2 — 5 cartes chacun</t>
        </is>
      </c>
      <c r="E38" s="13" t="n">
        <v>12.74</v>
      </c>
      <c r="F38" s="11" t="inlineStr">
        <is>
          <t>Carte</t>
        </is>
      </c>
      <c r="G38" s="11" t="inlineStr">
        <is>
          <t>#FA429713 · commande DVGGUEEHC</t>
        </is>
      </c>
    </row>
    <row r="39">
      <c r="A39" s="10">
        <f>IF(B39="","",ROW()-5)</f>
        <v/>
      </c>
      <c r="B39" s="11" t="inlineStr">
        <is>
          <t>03/08/2026</t>
        </is>
      </c>
      <c r="C39" s="11" t="inlineStr">
        <is>
          <t>ADN Enchères — Lyon</t>
        </is>
      </c>
      <c r="D39" s="11" t="inlineStr">
        <is>
          <t>Frais d'expédition — Colissimo Point Relais — assurance et signature</t>
        </is>
      </c>
      <c r="E39" s="13" t="n">
        <v>18.22</v>
      </c>
      <c r="F39" s="11" t="inlineStr">
        <is>
          <t>Carte</t>
        </is>
      </c>
      <c r="G39" s="11" t="inlineStr">
        <is>
          <t>FF2026-4146 · TLE-C26827</t>
        </is>
      </c>
    </row>
    <row r="40">
      <c r="A40" s="10">
        <f>IF(B40="","",ROW()-5)</f>
        <v/>
      </c>
      <c r="B40" s="11" t="inlineStr">
        <is>
          <t>03/08/2026</t>
        </is>
      </c>
      <c r="C40" s="11" t="inlineStr">
        <is>
          <t>ADN Enchères — Lyon</t>
        </is>
      </c>
      <c r="D40" s="11" t="inlineStr">
        <is>
          <t>Frais d'expédition — Colissimo Point Relais — assurance et signature</t>
        </is>
      </c>
      <c r="E40" s="13" t="n">
        <v>29.94</v>
      </c>
      <c r="F40" s="11" t="inlineStr">
        <is>
          <t>Carte</t>
        </is>
      </c>
      <c r="G40" s="11" t="inlineStr">
        <is>
          <t>FF2026-4160 · TLE-C26851</t>
        </is>
      </c>
    </row>
    <row r="41">
      <c r="A41" s="10">
        <f>IF(B41="","",ROW()-5)</f>
        <v/>
      </c>
      <c r="B41" s="11" t="inlineStr">
        <is>
          <t>10/08/2026</t>
        </is>
      </c>
      <c r="C41" s="11" t="inlineStr">
        <is>
          <t>ADN Enchères — Le Mans</t>
        </is>
      </c>
      <c r="D41" s="11" t="inlineStr">
        <is>
          <t>Lot n°8 — ADIDAS Yeezy 700 V3 Mono Safflower T.38 — occasion</t>
        </is>
      </c>
      <c r="E41" s="13" t="n">
        <v>63</v>
      </c>
      <c r="F41" s="11" t="inlineStr">
        <is>
          <t>Carte</t>
        </is>
      </c>
      <c r="G41" s="11" t="inlineStr">
        <is>
          <t>FB2026-46056 · bordereau ADN-1743-6</t>
        </is>
      </c>
    </row>
    <row r="42">
      <c r="A42" s="10">
        <f>IF(B42="","",ROW()-5)</f>
        <v/>
      </c>
      <c r="B42" s="11" t="inlineStr">
        <is>
          <t>10/08/2026</t>
        </is>
      </c>
      <c r="C42" s="11" t="inlineStr">
        <is>
          <t>ADN Enchères — Le Mans</t>
        </is>
      </c>
      <c r="D42" s="11" t="inlineStr">
        <is>
          <t>Lot n°279 — Lot de 6 vêtements femme MORGAN T.40 et L — neuf</t>
        </is>
      </c>
      <c r="E42" s="13" t="n">
        <v>37.8</v>
      </c>
      <c r="F42" s="11" t="inlineStr">
        <is>
          <t>Carte</t>
        </is>
      </c>
      <c r="G42" s="11" t="inlineStr">
        <is>
          <t>FB2026-46056 · bordereau ADN-1743-6</t>
        </is>
      </c>
    </row>
    <row r="43">
      <c r="A43" s="10">
        <f>IF(B43="","",ROW()-5)</f>
        <v/>
      </c>
      <c r="B43" s="11" t="inlineStr">
        <is>
          <t>10/08/2026</t>
        </is>
      </c>
      <c r="C43" s="11" t="inlineStr">
        <is>
          <t>ADN Enchères — Le Mans</t>
        </is>
      </c>
      <c r="D43" s="11" t="inlineStr">
        <is>
          <t>Lot n°162 — Demi-bottes FORMA Legacy Waterproof T.45 noir — neuves</t>
        </is>
      </c>
      <c r="E43" s="13" t="n">
        <v>63</v>
      </c>
      <c r="F43" s="11" t="inlineStr">
        <is>
          <t>Carte</t>
        </is>
      </c>
      <c r="G43" s="11" t="inlineStr">
        <is>
          <t>FB2026-46058 · bordereau ADN-1716-91</t>
        </is>
      </c>
    </row>
    <row r="44">
      <c r="A44" s="10">
        <f>IF(B44="","",ROW()-5)</f>
        <v/>
      </c>
      <c r="B44" s="11" t="inlineStr">
        <is>
          <t>10/08/2026</t>
        </is>
      </c>
      <c r="C44" s="11" t="inlineStr">
        <is>
          <t>ADN Enchères — Le Mans</t>
        </is>
      </c>
      <c r="D44" s="11" t="inlineStr">
        <is>
          <t>Lot n°1350 — Combinaison de pluie BMW Overall ProRain unisexe XL — neuve</t>
        </is>
      </c>
      <c r="E44" s="13" t="n">
        <v>68.56999999999999</v>
      </c>
      <c r="F44" s="11" t="inlineStr">
        <is>
          <t>Carte</t>
        </is>
      </c>
      <c r="G44" s="11" t="inlineStr">
        <is>
          <t>FB2026-46060 · bordereau ADN-1727-194</t>
        </is>
      </c>
    </row>
    <row r="45">
      <c r="A45" s="10">
        <f>IF(B45="","",ROW()-5)</f>
        <v/>
      </c>
      <c r="B45" s="11" t="inlineStr">
        <is>
          <t>10/08/2026</t>
        </is>
      </c>
      <c r="C45" s="11" t="inlineStr">
        <is>
          <t>ADN Enchères — Le Mans</t>
        </is>
      </c>
      <c r="D45" s="11" t="inlineStr">
        <is>
          <t>Frais d'expédition — Colissimo Point Relais</t>
        </is>
      </c>
      <c r="E45" s="13" t="n">
        <v>15.72</v>
      </c>
      <c r="F45" s="11" t="inlineStr">
        <is>
          <t>Carte</t>
        </is>
      </c>
      <c r="G45" s="11" t="inlineStr">
        <is>
          <t>FF2026-32305 · ADN-C208494</t>
        </is>
      </c>
    </row>
    <row r="46">
      <c r="A46" s="10">
        <f>IF(B46="","",ROW()-5)</f>
        <v/>
      </c>
      <c r="B46" s="11" t="inlineStr">
        <is>
          <t>11/08/2026</t>
        </is>
      </c>
      <c r="C46" s="11" t="inlineStr">
        <is>
          <t>ADN Enchères — Lyon</t>
        </is>
      </c>
      <c r="D46" s="11" t="inlineStr">
        <is>
          <t>Lot n°388 — Lot de 20 paires de sandales et tongs RELIFE / TOMMY JEANS — neuf</t>
        </is>
      </c>
      <c r="E46" s="13" t="n">
        <v>56.7</v>
      </c>
      <c r="F46" s="11" t="inlineStr">
        <is>
          <t>Carte</t>
        </is>
      </c>
      <c r="G46" s="11" t="inlineStr">
        <is>
          <t>FB2026-6354 · bordereau TLE-442-121</t>
        </is>
      </c>
    </row>
    <row r="47">
      <c r="A47" s="10">
        <f>IF(B47="","",ROW()-5)</f>
        <v/>
      </c>
      <c r="B47" s="11" t="inlineStr">
        <is>
          <t>12/08/2026</t>
        </is>
      </c>
      <c r="C47" s="11" t="inlineStr">
        <is>
          <t>ADN Enchères — Lyon</t>
        </is>
      </c>
      <c r="D47" s="11" t="inlineStr">
        <is>
          <t>Frais d'expédition — Colissimo Point Relais — assurance et signature</t>
        </is>
      </c>
      <c r="E47" s="13" t="n">
        <v>44.02</v>
      </c>
      <c r="F47" s="11" t="inlineStr">
        <is>
          <t>Carte</t>
        </is>
      </c>
      <c r="G47" s="11" t="inlineStr">
        <is>
          <t>FF2026-4456 · TLE-C27429</t>
        </is>
      </c>
    </row>
    <row r="48">
      <c r="A48" s="16">
        <f>IF(B48="","",ROW()-5)</f>
        <v/>
      </c>
      <c r="B48" s="12" t="inlineStr"/>
      <c r="C48" s="12" t="inlineStr">
        <is>
          <t>ADN (facture à retrouver)</t>
        </is>
      </c>
      <c r="D48" s="12" t="inlineStr">
        <is>
          <t>Lot n°84 — Lot de 3 pompes immergées ROBBY VP550W</t>
        </is>
      </c>
      <c r="E48" s="17" t="n">
        <v>45</v>
      </c>
      <c r="F48" s="12" t="inlineStr">
        <is>
          <t>Carte</t>
        </is>
      </c>
      <c r="G48" s="12" t="inlineStr"/>
    </row>
    <row r="49">
      <c r="A49" s="10">
        <f>IF(B49="","",ROW()-5)</f>
        <v/>
      </c>
      <c r="B49" s="11" t="n"/>
      <c r="C49" s="11" t="n"/>
      <c r="D49" s="11" t="n"/>
      <c r="E49" s="13" t="n"/>
      <c r="F49" s="11" t="n"/>
      <c r="G49" s="11" t="n"/>
    </row>
    <row r="50">
      <c r="A50" s="10">
        <f>IF(B50="","",ROW()-5)</f>
        <v/>
      </c>
      <c r="B50" s="11" t="n"/>
      <c r="C50" s="11" t="n"/>
      <c r="D50" s="11" t="n"/>
      <c r="E50" s="13" t="n"/>
      <c r="F50" s="11" t="n"/>
      <c r="G50" s="11" t="n"/>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row r="347">
      <c r="A347" s="10">
        <f>IF(B347="","",ROW()-5)</f>
        <v/>
      </c>
      <c r="B347" s="11" t="n"/>
      <c r="C347" s="11" t="n"/>
      <c r="D347" s="11" t="n"/>
      <c r="E347" s="13" t="n"/>
      <c r="F347" s="11" t="n"/>
      <c r="G347" s="11" t="n"/>
    </row>
    <row r="348">
      <c r="A348" s="10">
        <f>IF(B348="","",ROW()-5)</f>
        <v/>
      </c>
      <c r="B348" s="11" t="n"/>
      <c r="C348" s="11" t="n"/>
      <c r="D348" s="11" t="n"/>
      <c r="E348" s="13" t="n"/>
      <c r="F348" s="11" t="n"/>
      <c r="G348" s="11" t="n"/>
    </row>
  </sheetData>
  <autoFilter ref="A5:G3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3"/>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8">
        <f>COUNTIF(B6:B343,"&lt;&gt;")</f>
        <v/>
      </c>
    </row>
    <row r="4">
      <c r="M4" s="8" t="inlineStr">
        <is>
          <t>Sortis du stock</t>
        </is>
      </c>
      <c r="N4" s="18">
        <f>COUNT(J6:J343)</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SUM(G6:G343)</f>
        <v/>
      </c>
    </row>
    <row r="6">
      <c r="A6" s="19">
        <f>IF(B6="","",ROW()-5)</f>
        <v/>
      </c>
      <c r="B6" s="20" t="inlineStr">
        <is>
          <t>28/07/2026</t>
        </is>
      </c>
      <c r="C6" s="20" t="inlineStr">
        <is>
          <t>ADN Enchères — Lyon</t>
        </is>
      </c>
      <c r="D6" s="20" t="inlineStr">
        <is>
          <t>Facture — opérateur de ventes volontaires agréé</t>
        </is>
      </c>
      <c r="E6" s="20" t="inlineStr">
        <is>
          <t>Lot de 12 paires de tongs HAVAIANAS fuchsia 35/36 — neuf</t>
        </is>
      </c>
      <c r="F6" s="20" t="inlineStr">
        <is>
          <t>Havaianas</t>
        </is>
      </c>
      <c r="G6" s="21" t="n">
        <v>100.8</v>
      </c>
      <c r="H6" s="20" t="inlineStr">
        <is>
          <t>Carte</t>
        </is>
      </c>
      <c r="I6" s="20" t="inlineStr">
        <is>
          <t>10/08/2026</t>
        </is>
      </c>
      <c r="J6" s="21" t="n">
        <v>28</v>
      </c>
      <c r="K6" s="20" t="inlineStr">
        <is>
          <t>Sortie partielle : 2 paires sur 12, à 14 € l'unité</t>
        </is>
      </c>
      <c r="M6" s="8" t="inlineStr">
        <is>
          <t>Prix de vente cumulé</t>
        </is>
      </c>
      <c r="N6" s="6">
        <f>SUM(J6:J343)</f>
        <v/>
      </c>
    </row>
    <row r="7">
      <c r="A7" s="19">
        <f>IF(B7="","",ROW()-5)</f>
        <v/>
      </c>
      <c r="B7" s="20" t="inlineStr">
        <is>
          <t>28/07/2026</t>
        </is>
      </c>
      <c r="C7" s="20" t="inlineStr">
        <is>
          <t>ADN Enchères — Le Mans</t>
        </is>
      </c>
      <c r="D7" s="20" t="inlineStr">
        <is>
          <t>Facture — opérateur de ventes volontaires agréé</t>
        </is>
      </c>
      <c r="E7" s="20" t="inlineStr">
        <is>
          <t>Veste en jean ARMANI EXCHANGE T.S — neuve</t>
        </is>
      </c>
      <c r="F7" s="20" t="inlineStr">
        <is>
          <t>Armani Exchange</t>
        </is>
      </c>
      <c r="G7" s="21" t="n">
        <v>25.2</v>
      </c>
      <c r="H7" s="20" t="inlineStr">
        <is>
          <t>Carte</t>
        </is>
      </c>
      <c r="I7" s="20" t="inlineStr">
        <is>
          <t>09/08/2026</t>
        </is>
      </c>
      <c r="J7" s="21" t="n">
        <v>40</v>
      </c>
      <c r="K7" s="20" t="inlineStr"/>
    </row>
    <row r="8">
      <c r="A8" s="10">
        <f>IF(B8="","",ROW()-5)</f>
        <v/>
      </c>
      <c r="B8" s="11" t="inlineStr">
        <is>
          <t>28/07/2026</t>
        </is>
      </c>
      <c r="C8" s="11" t="inlineStr">
        <is>
          <t>ADN Enchères — Le Mans</t>
        </is>
      </c>
      <c r="D8" s="11" t="inlineStr">
        <is>
          <t>Facture — opérateur de ventes volontaires agréé</t>
        </is>
      </c>
      <c r="E8" s="11" t="inlineStr">
        <is>
          <t>Lot de 4 gilets de flottaison MRS.ERTHA 3-6 ans — neuf</t>
        </is>
      </c>
      <c r="F8" s="11" t="inlineStr">
        <is>
          <t>Mrs.Ertha</t>
        </is>
      </c>
      <c r="G8" s="13" t="n">
        <v>37.8</v>
      </c>
      <c r="H8" s="11" t="inlineStr">
        <is>
          <t>Carte</t>
        </is>
      </c>
      <c r="I8" s="11" t="inlineStr"/>
      <c r="J8" s="13" t="inlineStr"/>
      <c r="K8" s="11" t="inlineStr"/>
    </row>
    <row r="9">
      <c r="A9" s="10">
        <f>IF(B9="","",ROW()-5)</f>
        <v/>
      </c>
      <c r="B9" s="11" t="inlineStr">
        <is>
          <t>28/07/2026</t>
        </is>
      </c>
      <c r="C9" s="11" t="inlineStr">
        <is>
          <t>ADN Enchères — Le Mans</t>
        </is>
      </c>
      <c r="D9" s="11" t="inlineStr">
        <is>
          <t>Facture — opérateur de ventes volontaires agréé</t>
        </is>
      </c>
      <c r="E9" s="11" t="inlineStr">
        <is>
          <t>Robe SANDRO T.40 — neuve</t>
        </is>
      </c>
      <c r="F9" s="11" t="inlineStr">
        <is>
          <t>Sandro</t>
        </is>
      </c>
      <c r="G9" s="13" t="n">
        <v>37.8</v>
      </c>
      <c r="H9" s="11" t="inlineStr">
        <is>
          <t>Carte</t>
        </is>
      </c>
      <c r="I9" s="11" t="inlineStr"/>
      <c r="J9" s="13" t="inlineStr"/>
      <c r="K9" s="11" t="inlineStr"/>
    </row>
    <row r="10">
      <c r="A10" s="19">
        <f>IF(B10="","",ROW()-5)</f>
        <v/>
      </c>
      <c r="B10" s="20" t="inlineStr">
        <is>
          <t>28/07/2026</t>
        </is>
      </c>
      <c r="C10" s="20" t="inlineStr">
        <is>
          <t>ADN Enchères — Le Mans</t>
        </is>
      </c>
      <c r="D10" s="20" t="inlineStr">
        <is>
          <t>Facture — opérateur de ventes volontaires agréé</t>
        </is>
      </c>
      <c r="E10" s="20" t="inlineStr">
        <is>
          <t>Baskets HOKA P.37 1/3 — neuves</t>
        </is>
      </c>
      <c r="F10" s="20" t="inlineStr">
        <is>
          <t>Hoka</t>
        </is>
      </c>
      <c r="G10" s="21" t="n">
        <v>63</v>
      </c>
      <c r="H10" s="20" t="inlineStr">
        <is>
          <t>Carte</t>
        </is>
      </c>
      <c r="I10" s="20" t="inlineStr">
        <is>
          <t>09/08/2026</t>
        </is>
      </c>
      <c r="J10" s="21" t="n">
        <v>80</v>
      </c>
      <c r="K10" s="20" t="inlineStr"/>
    </row>
    <row r="11">
      <c r="A11" s="19">
        <f>IF(B11="","",ROW()-5)</f>
        <v/>
      </c>
      <c r="B11" s="20" t="inlineStr">
        <is>
          <t>28/07/2026</t>
        </is>
      </c>
      <c r="C11" s="20" t="inlineStr">
        <is>
          <t>ADN Enchères — Le Mans</t>
        </is>
      </c>
      <c r="D11" s="20" t="inlineStr">
        <is>
          <t>Facture — opérateur de ventes volontaires agréé</t>
        </is>
      </c>
      <c r="E11" s="20" t="inlineStr">
        <is>
          <t>Baskets NIKE Air Max Moto 2K P.44.5 — neuves</t>
        </is>
      </c>
      <c r="F11" s="20" t="inlineStr">
        <is>
          <t>Nike</t>
        </is>
      </c>
      <c r="G11" s="21" t="n">
        <v>50.4</v>
      </c>
      <c r="H11" s="20" t="inlineStr">
        <is>
          <t>Carte</t>
        </is>
      </c>
      <c r="I11" s="20" t="inlineStr">
        <is>
          <t>09/08/2026</t>
        </is>
      </c>
      <c r="J11" s="21" t="n">
        <v>70</v>
      </c>
      <c r="K11" s="20" t="inlineStr"/>
    </row>
    <row r="12">
      <c r="A12" s="10">
        <f>IF(B12="","",ROW()-5)</f>
        <v/>
      </c>
      <c r="B12" s="11" t="inlineStr">
        <is>
          <t>28/07/2026</t>
        </is>
      </c>
      <c r="C12" s="11" t="inlineStr">
        <is>
          <t>ADN Enchères — Le Mans</t>
        </is>
      </c>
      <c r="D12" s="11" t="inlineStr">
        <is>
          <t>Facture — opérateur de ventes volontaires agréé</t>
        </is>
      </c>
      <c r="E12" s="11" t="inlineStr">
        <is>
          <t>Chaussures HOGAN P.36 — traces d'essayage</t>
        </is>
      </c>
      <c r="F12" s="11" t="inlineStr">
        <is>
          <t>Hogan</t>
        </is>
      </c>
      <c r="G12" s="13" t="n">
        <v>12.6</v>
      </c>
      <c r="H12" s="11" t="inlineStr">
        <is>
          <t>Carte</t>
        </is>
      </c>
      <c r="I12" s="11" t="inlineStr"/>
      <c r="J12" s="13" t="inlineStr"/>
      <c r="K12" s="11" t="inlineStr"/>
    </row>
    <row r="13">
      <c r="A13" s="10">
        <f>IF(B13="","",ROW()-5)</f>
        <v/>
      </c>
      <c r="B13" s="11" t="inlineStr">
        <is>
          <t>28/07/2026</t>
        </is>
      </c>
      <c r="C13" s="11" t="inlineStr">
        <is>
          <t>ADN Enchères — Le Mans</t>
        </is>
      </c>
      <c r="D13" s="11" t="inlineStr">
        <is>
          <t>Facture — opérateur de ventes volontaires agréé</t>
        </is>
      </c>
      <c r="E13" s="11" t="inlineStr">
        <is>
          <t>NEW BALANCE G19064IK Alkaline Green P.38½ — neuves avec boîte</t>
        </is>
      </c>
      <c r="F13" s="11" t="inlineStr">
        <is>
          <t>New Balance</t>
        </is>
      </c>
      <c r="G13" s="13" t="n">
        <v>75.59999999999999</v>
      </c>
      <c r="H13" s="11" t="inlineStr">
        <is>
          <t>Carte</t>
        </is>
      </c>
      <c r="I13" s="11" t="inlineStr"/>
      <c r="J13" s="13" t="inlineStr"/>
      <c r="K13" s="11" t="inlineStr"/>
    </row>
    <row r="14">
      <c r="A14" s="10">
        <f>IF(B14="","",ROW()-5)</f>
        <v/>
      </c>
      <c r="B14" s="11" t="inlineStr">
        <is>
          <t>28/07/2026</t>
        </is>
      </c>
      <c r="C14" s="11" t="inlineStr">
        <is>
          <t>ADN Enchères — Le Mans</t>
        </is>
      </c>
      <c r="D14" s="11" t="inlineStr">
        <is>
          <t>Facture — opérateur de ventes volontaires agréé</t>
        </is>
      </c>
      <c r="E14" s="11" t="inlineStr">
        <is>
          <t>Lot de 2 paires ADIDAS Predator Edge P.48 2/3 — neuves</t>
        </is>
      </c>
      <c r="F14" s="11" t="inlineStr">
        <is>
          <t>Adidas</t>
        </is>
      </c>
      <c r="G14" s="13" t="n">
        <v>37.8</v>
      </c>
      <c r="H14" s="11" t="inlineStr">
        <is>
          <t>Carte</t>
        </is>
      </c>
      <c r="I14" s="11" t="inlineStr"/>
      <c r="J14" s="13" t="inlineStr"/>
      <c r="K14" s="11" t="inlineStr"/>
    </row>
    <row r="15">
      <c r="A15" s="10">
        <f>IF(B15="","",ROW()-5)</f>
        <v/>
      </c>
      <c r="B15" s="11" t="inlineStr">
        <is>
          <t>28/07/2026</t>
        </is>
      </c>
      <c r="C15" s="11" t="inlineStr">
        <is>
          <t>ADN Enchères — Le Mans</t>
        </is>
      </c>
      <c r="D15" s="11" t="inlineStr">
        <is>
          <t>Facture — opérateur de ventes volontaires agréé</t>
        </is>
      </c>
      <c r="E15" s="11" t="inlineStr">
        <is>
          <t>Short BA&amp;SH Fegor T.34 — neuf</t>
        </is>
      </c>
      <c r="F15" s="11" t="inlineStr">
        <is>
          <t>ba&amp;sh</t>
        </is>
      </c>
      <c r="G15" s="13" t="n">
        <v>50.4</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Jupe midi SONIA RYKIEL T.34 — neuve</t>
        </is>
      </c>
      <c r="F16" s="11" t="inlineStr">
        <is>
          <t>Sonia Rykiel</t>
        </is>
      </c>
      <c r="G16" s="13" t="n">
        <v>37.8</v>
      </c>
      <c r="H16" s="11" t="inlineStr">
        <is>
          <t>Carte</t>
        </is>
      </c>
      <c r="I16" s="11" t="inlineStr"/>
      <c r="J16" s="13" t="inlineStr"/>
      <c r="K16" s="11" t="inlineStr"/>
    </row>
    <row r="17">
      <c r="A17" s="19">
        <f>IF(B17="","",ROW()-5)</f>
        <v/>
      </c>
      <c r="B17" s="20" t="inlineStr">
        <is>
          <t>28/07/2026</t>
        </is>
      </c>
      <c r="C17" s="20" t="inlineStr">
        <is>
          <t>ADN Enchères — Le Mans</t>
        </is>
      </c>
      <c r="D17" s="20" t="inlineStr">
        <is>
          <t>Facture — opérateur de ventes volontaires agréé</t>
        </is>
      </c>
      <c r="E17" s="20" t="inlineStr">
        <is>
          <t>Sac demi-lune nylon noir KARL LAGERFELD JEANS — neuf avec étiquette</t>
        </is>
      </c>
      <c r="F17" s="20" t="inlineStr">
        <is>
          <t>Karl Lagerfeld Jeans</t>
        </is>
      </c>
      <c r="G17" s="21" t="n">
        <v>50.4</v>
      </c>
      <c r="H17" s="20" t="inlineStr">
        <is>
          <t>Carte</t>
        </is>
      </c>
      <c r="I17" s="20" t="inlineStr">
        <is>
          <t>09/08/2026</t>
        </is>
      </c>
      <c r="J17" s="21" t="n">
        <v>70</v>
      </c>
      <c r="K17" s="20" t="inlineStr"/>
    </row>
    <row r="18">
      <c r="A18" s="10">
        <f>IF(B18="","",ROW()-5)</f>
        <v/>
      </c>
      <c r="B18" s="11" t="inlineStr">
        <is>
          <t>28/07/2026</t>
        </is>
      </c>
      <c r="C18" s="11" t="inlineStr">
        <is>
          <t>ADN Enchères — Le Mans</t>
        </is>
      </c>
      <c r="D18" s="11" t="inlineStr">
        <is>
          <t>Facture — opérateur de ventes volontaires agréé</t>
        </is>
      </c>
      <c r="E18" s="11" t="inlineStr">
        <is>
          <t>ADIDAS x STELLA McCARTNEY ASMC Ultraboost 21 P.36 — modèle d'exposition</t>
        </is>
      </c>
      <c r="F18" s="11" t="inlineStr">
        <is>
          <t>Adidas x Stella McCartney</t>
        </is>
      </c>
      <c r="G18" s="13" t="n">
        <v>37.8</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Ballerines MASSIMO DUTTI P.41 — traces d'essayage</t>
        </is>
      </c>
      <c r="F19" s="11" t="inlineStr">
        <is>
          <t>Massimo Dutti</t>
        </is>
      </c>
      <c r="G19" s="13" t="n">
        <v>25.2</v>
      </c>
      <c r="H19" s="11" t="inlineStr">
        <is>
          <t>Carte</t>
        </is>
      </c>
      <c r="I19" s="11" t="inlineStr"/>
      <c r="J19" s="13" t="inlineStr"/>
      <c r="K19" s="11" t="inlineStr"/>
    </row>
    <row r="20">
      <c r="A20" s="10">
        <f>IF(B20="","",ROW()-5)</f>
        <v/>
      </c>
      <c r="B20" s="11" t="inlineStr">
        <is>
          <t>03/08/2026</t>
        </is>
      </c>
      <c r="C20" s="11" t="inlineStr">
        <is>
          <t>ADN Enchères — Lyon</t>
        </is>
      </c>
      <c r="D20" s="11" t="inlineStr">
        <is>
          <t>Facture — opérateur de ventes volontaires agréé</t>
        </is>
      </c>
      <c r="E20" s="11" t="inlineStr">
        <is>
          <t>NEW BALANCE sneakers P.38 — neuves</t>
        </is>
      </c>
      <c r="F20" s="11" t="inlineStr">
        <is>
          <t>New Balance</t>
        </is>
      </c>
      <c r="G20" s="13" t="n">
        <v>38.34</v>
      </c>
      <c r="H20" s="11" t="inlineStr">
        <is>
          <t>Carte</t>
        </is>
      </c>
      <c r="I20" s="11" t="inlineStr"/>
      <c r="J20" s="13" t="inlineStr"/>
      <c r="K20" s="11" t="inlineStr"/>
    </row>
    <row r="21">
      <c r="A21" s="19">
        <f>IF(B21="","",ROW()-5)</f>
        <v/>
      </c>
      <c r="B21" s="20" t="inlineStr">
        <is>
          <t>03/08/2026</t>
        </is>
      </c>
      <c r="C21" s="20" t="inlineStr">
        <is>
          <t>ADN Enchères — Lyon</t>
        </is>
      </c>
      <c r="D21" s="20" t="inlineStr">
        <is>
          <t>Facture — opérateur de ventes volontaires agréé</t>
        </is>
      </c>
      <c r="E21" s="20" t="inlineStr">
        <is>
          <t>LACOSTE sneakers P.42 — neuves</t>
        </is>
      </c>
      <c r="F21" s="20" t="inlineStr">
        <is>
          <t>Lacoste</t>
        </is>
      </c>
      <c r="G21" s="21" t="n">
        <v>57.51</v>
      </c>
      <c r="H21" s="20" t="inlineStr">
        <is>
          <t>Carte</t>
        </is>
      </c>
      <c r="I21" s="20" t="inlineStr">
        <is>
          <t>09/08/2026</t>
        </is>
      </c>
      <c r="J21" s="21" t="n">
        <v>70</v>
      </c>
      <c r="K21" s="20" t="inlineStr"/>
    </row>
    <row r="22">
      <c r="A22" s="10">
        <f>IF(B22="","",ROW()-5)</f>
        <v/>
      </c>
      <c r="B22" s="11" t="inlineStr">
        <is>
          <t>03/08/2026</t>
        </is>
      </c>
      <c r="C22" s="11" t="inlineStr">
        <is>
          <t>ADN Enchères — Lyon</t>
        </is>
      </c>
      <c r="D22" s="11" t="inlineStr">
        <is>
          <t>Facture — opérateur de ventes volontaires agréé</t>
        </is>
      </c>
      <c r="E22" s="11" t="inlineStr">
        <is>
          <t>EMPORIO ARMANI baskets P.36 — neuves</t>
        </is>
      </c>
      <c r="F22" s="11" t="inlineStr">
        <is>
          <t>Emporio Armani</t>
        </is>
      </c>
      <c r="G22" s="13" t="n">
        <v>51.12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GEOX baskets P.35 — neuves</t>
        </is>
      </c>
      <c r="F23" s="11" t="inlineStr">
        <is>
          <t>Geox</t>
        </is>
      </c>
      <c r="G23" s="13" t="n">
        <v>21.73</v>
      </c>
      <c r="H23" s="11" t="inlineStr">
        <is>
          <t>Carte</t>
        </is>
      </c>
      <c r="I23" s="11" t="inlineStr"/>
      <c r="J23" s="13" t="inlineStr"/>
      <c r="K23" s="11" t="inlineStr"/>
    </row>
    <row r="24">
      <c r="A24" s="10">
        <f>IF(B24="","",ROW()-5)</f>
        <v/>
      </c>
      <c r="B24" s="11" t="inlineStr">
        <is>
          <t>03/08/2026</t>
        </is>
      </c>
      <c r="C24" s="11" t="inlineStr">
        <is>
          <t>ADN Enchères — Lyon</t>
        </is>
      </c>
      <c r="D24" s="11" t="inlineStr">
        <is>
          <t>Facture — opérateur de ventes volontaires agréé</t>
        </is>
      </c>
      <c r="E24" s="11" t="inlineStr">
        <is>
          <t>NEW BALANCE baskets montantes P.44 — neuves</t>
        </is>
      </c>
      <c r="F24" s="11" t="inlineStr">
        <is>
          <t>New Balance</t>
        </is>
      </c>
      <c r="G24" s="13" t="n">
        <v>51.12</v>
      </c>
      <c r="H24" s="11" t="inlineStr">
        <is>
          <t>Carte</t>
        </is>
      </c>
      <c r="I24" s="11" t="inlineStr"/>
      <c r="J24" s="13" t="inlineStr"/>
      <c r="K24" s="11" t="inlineStr"/>
    </row>
    <row r="25">
      <c r="A25" s="10">
        <f>IF(B25="","",ROW()-5)</f>
        <v/>
      </c>
      <c r="B25" s="11" t="inlineStr">
        <is>
          <t>03/08/2026</t>
        </is>
      </c>
      <c r="C25" s="11" t="inlineStr">
        <is>
          <t>ADN Enchères — Lyon</t>
        </is>
      </c>
      <c r="D25" s="11" t="inlineStr">
        <is>
          <t>Facture — opérateur de ventes volontaires agréé</t>
        </is>
      </c>
      <c r="E25" s="11" t="inlineStr">
        <is>
          <t>TOMMY JEANS baskets basses P.40 — neuves</t>
        </is>
      </c>
      <c r="F25" s="11" t="inlineStr">
        <is>
          <t>Tommy Jeans</t>
        </is>
      </c>
      <c r="G25" s="13" t="n">
        <v>52.4</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PHILIPP PLEIN SPORT baskets montantes P.40 — neuves</t>
        </is>
      </c>
      <c r="F26" s="11" t="inlineStr">
        <is>
          <t>Philipp Plein Sport</t>
        </is>
      </c>
      <c r="G26" s="13" t="n">
        <v>57.51</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PIER ANTONIO GASPARI robe droite bleu marine T.42 — neuve</t>
        </is>
      </c>
      <c r="F27" s="11" t="inlineStr">
        <is>
          <t>Pier Antonio Gaspari</t>
        </is>
      </c>
      <c r="G27" s="13" t="n">
        <v>25.56</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ELISABETTA FRANCHI robe asymétrique viscose T.46 IT — neuve</t>
        </is>
      </c>
      <c r="F28" s="11" t="inlineStr">
        <is>
          <t>Elisabetta Franchi</t>
        </is>
      </c>
      <c r="G28" s="13" t="n">
        <v>20.45</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CHIARA FERRAGNI robe bustier courte T.M — neuve</t>
        </is>
      </c>
      <c r="F29" s="11" t="inlineStr">
        <is>
          <t>Chiara Ferragni</t>
        </is>
      </c>
      <c r="G29" s="13" t="n">
        <v>31.95</v>
      </c>
      <c r="H29" s="11" t="inlineStr">
        <is>
          <t>Carte</t>
        </is>
      </c>
      <c r="I29" s="11" t="inlineStr"/>
      <c r="J29" s="13" t="inlineStr"/>
      <c r="K29" s="11" t="inlineStr"/>
    </row>
    <row r="30">
      <c r="A30" s="19">
        <f>IF(B30="","",ROW()-5)</f>
        <v/>
      </c>
      <c r="B30" s="20" t="inlineStr">
        <is>
          <t>03/08/2026</t>
        </is>
      </c>
      <c r="C30" s="20" t="inlineStr">
        <is>
          <t>ADN Enchères — Le Mans</t>
        </is>
      </c>
      <c r="D30" s="20" t="inlineStr">
        <is>
          <t>Facture — opérateur de ventes volontaires agréé</t>
        </is>
      </c>
      <c r="E30" s="20" t="inlineStr">
        <is>
          <t>SALOMON X Ultra 5 Mid GTX P.44 — neuves</t>
        </is>
      </c>
      <c r="F30" s="20" t="inlineStr">
        <is>
          <t>Salomon</t>
        </is>
      </c>
      <c r="G30" s="21" t="n">
        <v>76.68000000000001</v>
      </c>
      <c r="H30" s="20" t="inlineStr">
        <is>
          <t>Carte</t>
        </is>
      </c>
      <c r="I30" s="20" t="inlineStr">
        <is>
          <t>12/08/2026</t>
        </is>
      </c>
      <c r="J30" s="21" t="n">
        <v>100</v>
      </c>
      <c r="K30" s="20" t="inlineStr">
        <is>
          <t>Vendu, encaissement Vinted en attente</t>
        </is>
      </c>
    </row>
    <row r="31">
      <c r="A31" s="10">
        <f>IF(B31="","",ROW()-5)</f>
        <v/>
      </c>
      <c r="B31" s="11" t="inlineStr">
        <is>
          <t>03/08/2026</t>
        </is>
      </c>
      <c r="C31" s="11" t="inlineStr">
        <is>
          <t>ADN Enchères — Le Mans</t>
        </is>
      </c>
      <c r="D31" s="11" t="inlineStr">
        <is>
          <t>Facture — opérateur de ventes volontaires agréé</t>
        </is>
      </c>
      <c r="E31" s="11" t="inlineStr">
        <is>
          <t>Lot de 4 toupies BEYBLADE HASBRO</t>
        </is>
      </c>
      <c r="F31" s="11" t="inlineStr">
        <is>
          <t>Beyblade — Hasbro</t>
        </is>
      </c>
      <c r="G31" s="13" t="n">
        <v>19.17</v>
      </c>
      <c r="H31" s="11" t="inlineStr">
        <is>
          <t>Carte</t>
        </is>
      </c>
      <c r="I31" s="11" t="inlineStr"/>
      <c r="J31" s="13" t="inlineStr"/>
      <c r="K31" s="11" t="inlineStr"/>
    </row>
    <row r="32">
      <c r="A32" s="10">
        <f>IF(B32="","",ROW()-5)</f>
        <v/>
      </c>
      <c r="B32" s="11" t="inlineStr">
        <is>
          <t>03/08/2026</t>
        </is>
      </c>
      <c r="C32" s="11" t="inlineStr">
        <is>
          <t>ADN Enchères — Le Mans</t>
        </is>
      </c>
      <c r="D32" s="11" t="inlineStr">
        <is>
          <t>Facture — opérateur de ventes volontaires agréé</t>
        </is>
      </c>
      <c r="E32" s="11" t="inlineStr">
        <is>
          <t>Lot de 4 toupies BEYBLADE HASBRO</t>
        </is>
      </c>
      <c r="F32" s="11" t="inlineStr">
        <is>
          <t>Beyblade — Hasbro</t>
        </is>
      </c>
      <c r="G32" s="13" t="n">
        <v>38.34</v>
      </c>
      <c r="H32" s="11" t="inlineStr">
        <is>
          <t>Carte</t>
        </is>
      </c>
      <c r="I32" s="11" t="inlineStr"/>
      <c r="J32" s="13" t="inlineStr"/>
      <c r="K32" s="11" t="inlineStr"/>
    </row>
    <row r="33">
      <c r="A33" s="19">
        <f>IF(B33="","",ROW()-5)</f>
        <v/>
      </c>
      <c r="B33" s="20" t="inlineStr">
        <is>
          <t>03/08/2026</t>
        </is>
      </c>
      <c r="C33" s="20" t="inlineStr">
        <is>
          <t>ADN Enchères — Le Mans</t>
        </is>
      </c>
      <c r="D33" s="20" t="inlineStr">
        <is>
          <t>Facture — opérateur de ventes volontaires agréé</t>
        </is>
      </c>
      <c r="E33" s="20" t="inlineStr">
        <is>
          <t>T-shirt BALENCIAGA T.2 — neuf</t>
        </is>
      </c>
      <c r="F33" s="20" t="inlineStr">
        <is>
          <t>Balenciaga</t>
        </is>
      </c>
      <c r="G33" s="21" t="n">
        <v>113.4</v>
      </c>
      <c r="H33" s="20" t="inlineStr">
        <is>
          <t>Carte</t>
        </is>
      </c>
      <c r="I33" s="20" t="inlineStr">
        <is>
          <t>09/08/2026</t>
        </is>
      </c>
      <c r="J33" s="21" t="n">
        <v>135</v>
      </c>
      <c r="K33" s="20" t="inlineStr"/>
    </row>
    <row r="34">
      <c r="A34" s="10">
        <f>IF(B34="","",ROW()-5)</f>
        <v/>
      </c>
      <c r="B34" s="11" t="inlineStr">
        <is>
          <t>03/08/2026</t>
        </is>
      </c>
      <c r="C34" s="11" t="inlineStr">
        <is>
          <t>ADN Enchères — Le Mans</t>
        </is>
      </c>
      <c r="D34" s="11" t="inlineStr">
        <is>
          <t>Facture — opérateur de ventes volontaires agréé</t>
        </is>
      </c>
      <c r="E34" s="11" t="inlineStr">
        <is>
          <t>Blazer noir KARL LAGERFELD T.36 FR — neuf avec étiquette</t>
        </is>
      </c>
      <c r="F34" s="11" t="inlineStr">
        <is>
          <t>Karl Lagerfeld</t>
        </is>
      </c>
      <c r="G34" s="13" t="n">
        <v>50.4</v>
      </c>
      <c r="H34" s="11" t="inlineStr">
        <is>
          <t>Carte</t>
        </is>
      </c>
      <c r="I34" s="11" t="inlineStr"/>
      <c r="J34" s="13" t="inlineStr"/>
      <c r="K34" s="11" t="inlineStr"/>
    </row>
    <row r="35">
      <c r="A35" s="10">
        <f>IF(B35="","",ROW()-5)</f>
        <v/>
      </c>
      <c r="B35" s="11" t="inlineStr">
        <is>
          <t>03/08/2026</t>
        </is>
      </c>
      <c r="C35" s="11" t="inlineStr">
        <is>
          <t>Meccha Japan</t>
        </is>
      </c>
      <c r="D35" s="11" t="inlineStr">
        <is>
          <t>Facture</t>
        </is>
      </c>
      <c r="E35" s="11" t="inlineStr">
        <is>
          <t>Booster Box Pokémon MEGA Nihil Zero (Munikis Zero) M3 — 30 boosters</t>
        </is>
      </c>
      <c r="F35" s="11" t="inlineStr">
        <is>
          <t>Pokémon — MEGA Nihil Zero M3 (réf. 4521329432274)</t>
        </is>
      </c>
      <c r="G35" s="13" t="n">
        <v>69.23999999999999</v>
      </c>
      <c r="H35" s="11" t="inlineStr">
        <is>
          <t>Carte</t>
        </is>
      </c>
      <c r="I35" s="11" t="inlineStr"/>
      <c r="J35" s="13" t="inlineStr"/>
      <c r="K35" s="11" t="inlineStr"/>
    </row>
    <row r="36">
      <c r="A36" s="10">
        <f>IF(B36="","",ROW()-5)</f>
        <v/>
      </c>
      <c r="B36" s="11" t="inlineStr">
        <is>
          <t>03/08/2026</t>
        </is>
      </c>
      <c r="C36" s="11" t="inlineStr">
        <is>
          <t>Meccha Japan</t>
        </is>
      </c>
      <c r="D36" s="11" t="inlineStr">
        <is>
          <t>Facture</t>
        </is>
      </c>
      <c r="E36" s="11" t="inlineStr">
        <is>
          <t>Booster Pokémon High Class Pack MEGA Dream ex M2a — 10 cartes</t>
        </is>
      </c>
      <c r="F36" s="11" t="inlineStr">
        <is>
          <t>Pokémon — High Class MEGA Dream ex M2a (réf. 4521329431925)</t>
        </is>
      </c>
      <c r="G36" s="13" t="n">
        <v>12.95</v>
      </c>
      <c r="H36" s="11" t="inlineStr">
        <is>
          <t>Carte</t>
        </is>
      </c>
      <c r="I36" s="11" t="inlineStr"/>
      <c r="J36" s="13" t="inlineStr"/>
      <c r="K36" s="11" t="inlineStr"/>
    </row>
    <row r="37">
      <c r="A37" s="10">
        <f>IF(B37="","",ROW()-5)</f>
        <v/>
      </c>
      <c r="B37" s="11" t="inlineStr">
        <is>
          <t>03/08/2026</t>
        </is>
      </c>
      <c r="C37" s="11" t="inlineStr">
        <is>
          <t>Meccha Japan</t>
        </is>
      </c>
      <c r="D37" s="11" t="inlineStr">
        <is>
          <t>Facture</t>
        </is>
      </c>
      <c r="E37" s="11" t="inlineStr">
        <is>
          <t>Boosters Pokémon MEGA Storm Emeralda M6 ×2 — 5 cartes chacun</t>
        </is>
      </c>
      <c r="F37" s="11" t="inlineStr">
        <is>
          <t>Pokémon — MEGA Storm Emeralda M6 (réf. 4521329462226)</t>
        </is>
      </c>
      <c r="G37" s="13" t="n">
        <v>12.74</v>
      </c>
      <c r="H37" s="11" t="inlineStr">
        <is>
          <t>Carte</t>
        </is>
      </c>
      <c r="I37" s="11" t="inlineStr"/>
      <c r="J37" s="13" t="inlineStr"/>
      <c r="K37" s="11" t="inlineStr"/>
    </row>
    <row r="38">
      <c r="A38" s="10">
        <f>IF(B38="","",ROW()-5)</f>
        <v/>
      </c>
      <c r="B38" s="11" t="inlineStr">
        <is>
          <t>10/08/2026</t>
        </is>
      </c>
      <c r="C38" s="11" t="inlineStr">
        <is>
          <t>ADN Enchères — Le Mans</t>
        </is>
      </c>
      <c r="D38" s="11" t="inlineStr">
        <is>
          <t>Facture — opérateur de ventes volontaires agréé</t>
        </is>
      </c>
      <c r="E38" s="11" t="inlineStr">
        <is>
          <t>ADIDAS Yeezy 700 V3 Mono Safflower T.38 — occasion</t>
        </is>
      </c>
      <c r="F38" s="11" t="inlineStr">
        <is>
          <t>Adidas Yeezy</t>
        </is>
      </c>
      <c r="G38" s="13" t="n">
        <v>63</v>
      </c>
      <c r="H38" s="11" t="inlineStr">
        <is>
          <t>Carte</t>
        </is>
      </c>
      <c r="I38" s="11" t="inlineStr"/>
      <c r="J38" s="13" t="inlineStr"/>
      <c r="K38" s="11" t="inlineStr"/>
    </row>
    <row r="39">
      <c r="A39" s="10">
        <f>IF(B39="","",ROW()-5)</f>
        <v/>
      </c>
      <c r="B39" s="11" t="inlineStr">
        <is>
          <t>10/08/2026</t>
        </is>
      </c>
      <c r="C39" s="11" t="inlineStr">
        <is>
          <t>ADN Enchères — Le Mans</t>
        </is>
      </c>
      <c r="D39" s="11" t="inlineStr">
        <is>
          <t>Facture — opérateur de ventes volontaires agréé</t>
        </is>
      </c>
      <c r="E39" s="11" t="inlineStr">
        <is>
          <t>Lot de 6 vêtements femme MORGAN T.40 et L — neuf</t>
        </is>
      </c>
      <c r="F39" s="11" t="inlineStr">
        <is>
          <t>Morgan</t>
        </is>
      </c>
      <c r="G39" s="13" t="n">
        <v>37.8</v>
      </c>
      <c r="H39" s="11" t="inlineStr">
        <is>
          <t>Carte</t>
        </is>
      </c>
      <c r="I39" s="11" t="inlineStr"/>
      <c r="J39" s="13" t="inlineStr"/>
      <c r="K39" s="11" t="inlineStr"/>
    </row>
    <row r="40">
      <c r="A40" s="10">
        <f>IF(B40="","",ROW()-5)</f>
        <v/>
      </c>
      <c r="B40" s="11" t="inlineStr">
        <is>
          <t>10/08/2026</t>
        </is>
      </c>
      <c r="C40" s="11" t="inlineStr">
        <is>
          <t>ADN Enchères — Le Mans</t>
        </is>
      </c>
      <c r="D40" s="11" t="inlineStr">
        <is>
          <t>Facture — opérateur de ventes volontaires agréé</t>
        </is>
      </c>
      <c r="E40" s="11" t="inlineStr">
        <is>
          <t>Demi-bottes FORMA Legacy Waterproof T.45 noir — neuves</t>
        </is>
      </c>
      <c r="F40" s="11" t="inlineStr">
        <is>
          <t>Forma</t>
        </is>
      </c>
      <c r="G40" s="13" t="n">
        <v>63</v>
      </c>
      <c r="H40" s="11" t="inlineStr">
        <is>
          <t>Carte</t>
        </is>
      </c>
      <c r="I40" s="11" t="inlineStr"/>
      <c r="J40" s="13" t="inlineStr"/>
      <c r="K40" s="11" t="inlineStr"/>
    </row>
    <row r="41">
      <c r="A41" s="10">
        <f>IF(B41="","",ROW()-5)</f>
        <v/>
      </c>
      <c r="B41" s="11" t="inlineStr">
        <is>
          <t>10/08/2026</t>
        </is>
      </c>
      <c r="C41" s="11" t="inlineStr">
        <is>
          <t>ADN Enchères — Le Mans</t>
        </is>
      </c>
      <c r="D41" s="11" t="inlineStr">
        <is>
          <t>Facture — opérateur de ventes volontaires agréé</t>
        </is>
      </c>
      <c r="E41" s="11" t="inlineStr">
        <is>
          <t>Combinaison de pluie BMW Overall ProRain unisexe XL — neuve</t>
        </is>
      </c>
      <c r="F41" s="11" t="inlineStr">
        <is>
          <t>BMW</t>
        </is>
      </c>
      <c r="G41" s="13" t="n">
        <v>68.56999999999999</v>
      </c>
      <c r="H41" s="11" t="inlineStr">
        <is>
          <t>Carte</t>
        </is>
      </c>
      <c r="I41" s="11" t="inlineStr"/>
      <c r="J41" s="13" t="inlineStr"/>
      <c r="K41" s="11" t="inlineStr"/>
    </row>
    <row r="42">
      <c r="A42" s="10">
        <f>IF(B42="","",ROW()-5)</f>
        <v/>
      </c>
      <c r="B42" s="11" t="inlineStr">
        <is>
          <t>11/08/2026</t>
        </is>
      </c>
      <c r="C42" s="11" t="inlineStr">
        <is>
          <t>ADN Enchères — Lyon</t>
        </is>
      </c>
      <c r="D42" s="11" t="inlineStr">
        <is>
          <t>Facture — opérateur de ventes volontaires agréé</t>
        </is>
      </c>
      <c r="E42" s="11" t="inlineStr">
        <is>
          <t>Lot de 20 paires de sandales et tongs RELIFE / TOMMY JEANS — neuf</t>
        </is>
      </c>
      <c r="F42" s="11" t="inlineStr">
        <is>
          <t>Relife / Tommy Jeans</t>
        </is>
      </c>
      <c r="G42" s="13" t="n">
        <v>56.7</v>
      </c>
      <c r="H42" s="11" t="inlineStr">
        <is>
          <t>Carte</t>
        </is>
      </c>
      <c r="I42" s="11" t="inlineStr"/>
      <c r="J42" s="13" t="inlineStr"/>
      <c r="K42" s="11" t="inlineStr"/>
    </row>
    <row r="43">
      <c r="A43" s="16">
        <f>IF(B43="","",ROW()-5)</f>
        <v/>
      </c>
      <c r="B43" s="12" t="inlineStr"/>
      <c r="C43" s="12" t="inlineStr">
        <is>
          <t>ADN (facture à retrouver)</t>
        </is>
      </c>
      <c r="D43" s="12" t="inlineStr">
        <is>
          <t>Facture en attente de réception</t>
        </is>
      </c>
      <c r="E43" s="12" t="inlineStr">
        <is>
          <t>Lot de 3 pompes immergées ROBBY VP550W</t>
        </is>
      </c>
      <c r="F43" s="12" t="inlineStr">
        <is>
          <t>Robby</t>
        </is>
      </c>
      <c r="G43" s="17" t="n">
        <v>45</v>
      </c>
      <c r="H43" s="12" t="inlineStr">
        <is>
          <t>Carte</t>
        </is>
      </c>
      <c r="I43" s="12" t="inlineStr"/>
      <c r="J43" s="17" t="inlineStr"/>
      <c r="K43" s="12" t="inlineStr">
        <is>
          <t>3 pompes — 1 prélevée pour usage personnel, sans contrepartie ; 2 restent en stock</t>
        </is>
      </c>
    </row>
    <row r="44">
      <c r="A44" s="10">
        <f>IF(B44="","",ROW()-5)</f>
        <v/>
      </c>
      <c r="B44" s="11" t="n"/>
      <c r="C44" s="11" t="n"/>
      <c r="D44" s="11" t="n"/>
      <c r="E44" s="11" t="n"/>
      <c r="F44" s="11" t="n"/>
      <c r="G44" s="13" t="n"/>
      <c r="H44" s="11" t="n"/>
      <c r="I44" s="11" t="n"/>
      <c r="J44" s="13" t="n"/>
      <c r="K44" s="11" t="n"/>
    </row>
    <row r="45">
      <c r="A45" s="10">
        <f>IF(B45="","",ROW()-5)</f>
        <v/>
      </c>
      <c r="B45" s="11" t="n"/>
      <c r="C45" s="11" t="n"/>
      <c r="D45" s="11" t="n"/>
      <c r="E45" s="11" t="n"/>
      <c r="F45" s="11" t="n"/>
      <c r="G45" s="13" t="n"/>
      <c r="H45" s="11" t="n"/>
      <c r="I45" s="11" t="n"/>
      <c r="J45" s="13" t="n"/>
      <c r="K45" s="11" t="n"/>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row r="342">
      <c r="A342" s="10">
        <f>IF(B342="","",ROW()-5)</f>
        <v/>
      </c>
      <c r="B342" s="11" t="n"/>
      <c r="C342" s="11" t="n"/>
      <c r="D342" s="11" t="n"/>
      <c r="E342" s="11" t="n"/>
      <c r="F342" s="11" t="n"/>
      <c r="G342" s="13" t="n"/>
      <c r="H342" s="11" t="n"/>
      <c r="I342" s="11" t="n"/>
      <c r="J342" s="13" t="n"/>
      <c r="K342" s="11" t="n"/>
    </row>
    <row r="343">
      <c r="A343" s="10">
        <f>IF(B343="","",ROW()-5)</f>
        <v/>
      </c>
      <c r="B343" s="11" t="n"/>
      <c r="C343" s="11" t="n"/>
      <c r="D343" s="11" t="n"/>
      <c r="E343" s="11" t="n"/>
      <c r="F343" s="11" t="n"/>
      <c r="G343" s="13" t="n"/>
      <c r="H343" s="11" t="n"/>
      <c r="I343" s="11" t="n"/>
      <c r="J343" s="13" t="n"/>
      <c r="K343" s="11" t="n"/>
    </row>
  </sheetData>
  <autoFilter ref="A5:K34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2026-08-14T00:33:22Z</dcterms:created>
  <dcterms:modified xsi:type="dcterms:W3CDTF">2026-08-14T00:33:22Z</dcterms:modified>
</cp:coreProperties>
</file>