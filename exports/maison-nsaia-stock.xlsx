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0 &quot;€&quot;"/>
    <numFmt numFmtId="166" formatCode="0.000"/>
    <numFmt numFmtId="167" formatCode="#,##0 &quot;art.&quot;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7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8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10" fontId="5" fillId="2" borderId="1" pivotButton="0" quotePrefix="0" xfId="0"/>
    <xf numFmtId="166" fontId="4" fillId="0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8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8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8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" t="n">
        <v>37.8</v>
      </c>
      <c r="C9" s="6">
        <f>$B9+$Y9*Paramètres!$B$13</f>
        <v/>
      </c>
      <c r="D9" s="7">
        <f>$C9/(1-Paramètres!$B$5-Paramètres!$B$6)</f>
        <v/>
      </c>
      <c r="E9" s="6">
        <f>CEILING($D9*Paramètres!$B$24,1)</f>
        <v/>
      </c>
      <c r="F9" s="8" t="n">
        <v>136</v>
      </c>
      <c r="G9" s="8">
        <f>IF($F9="","",$F9-$C9-$M9-$N9)</f>
        <v/>
      </c>
      <c r="H9" s="9">
        <f>IF($G9="","",$G9/$C9)</f>
        <v/>
      </c>
      <c r="I9" s="10" t="n">
        <v>4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 t="n">
        <v>0</v>
      </c>
      <c r="O9" s="11" t="n">
        <v>30</v>
      </c>
      <c r="P9" s="11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8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14" t="n">
        <v>100.8</v>
      </c>
      <c r="C10" s="15">
        <f>$B10+$Y10*Paramètres!$B$13</f>
        <v/>
      </c>
      <c r="D10" s="16">
        <f>$C10/(1-Paramètres!$B$5-Paramètres!$B$6)</f>
        <v/>
      </c>
      <c r="E10" s="15">
        <f>CEILING($D10*Paramètres!$B$24,1)</f>
        <v/>
      </c>
      <c r="F10" s="17" t="n">
        <v>208</v>
      </c>
      <c r="G10" s="17">
        <f>IF($F10="","",$F10-$C10-$M10-$N10)</f>
        <v/>
      </c>
      <c r="H10" s="18">
        <f>IF($G10="","",$G10/$C10)</f>
        <v/>
      </c>
      <c r="I10" s="19" t="n">
        <v>12</v>
      </c>
      <c r="J10" s="15">
        <f>$C10/$I10</f>
        <v/>
      </c>
      <c r="K10" s="15">
        <f>IF($F10="","",$F10/$I10)</f>
        <v/>
      </c>
      <c r="L10" s="15">
        <f>IF($G10="","",$G10/$I10)</f>
        <v/>
      </c>
      <c r="M10" s="16">
        <f>IF($F10="","",$F10*(Paramètres!$B$5+Paramètres!$B$6))</f>
        <v/>
      </c>
      <c r="N10" s="15" t="n">
        <v>0</v>
      </c>
      <c r="O10" s="20" t="n">
        <v>80</v>
      </c>
      <c r="P10" s="20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17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" t="n">
        <v>20.45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99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16</v>
      </c>
      <c r="P11" s="11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8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" t="n">
        <v>68.56999999999999</v>
      </c>
      <c r="C12" s="6">
        <f>$B12+$Y12*Paramètres!$B$13</f>
        <v/>
      </c>
      <c r="D12" s="7">
        <f>$C12/(1-Paramètres!$B$5-Paramètres!$B$6)</f>
        <v/>
      </c>
      <c r="E12" s="6">
        <f>CEILING($D12*Paramètres!$B$24,1)</f>
        <v/>
      </c>
      <c r="F12" s="8" t="n">
        <v>139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 t="n">
        <v>0</v>
      </c>
      <c r="O12" s="11" t="n">
        <v>60</v>
      </c>
      <c r="P12" s="11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8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" t="n">
        <v>12.6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79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10</v>
      </c>
      <c r="P13" s="11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8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99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8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89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8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" t="n">
        <v>37.8</v>
      </c>
      <c r="C16" s="6">
        <f>$B16+$Y16*Paramètres!$B$13</f>
        <v/>
      </c>
      <c r="D16" s="7">
        <f>$C16/(1-Paramètres!$B$5-Paramètres!$B$6)</f>
        <v/>
      </c>
      <c r="E16" s="6">
        <f>CEILING($D16*Paramètres!$B$24,1)</f>
        <v/>
      </c>
      <c r="F16" s="8" t="n">
        <v>98</v>
      </c>
      <c r="G16" s="8">
        <f>IF($F16="","",$F16-$C16-$M16-$N16)</f>
        <v/>
      </c>
      <c r="H16" s="9">
        <f>IF($G16="","",$G16/$C16)</f>
        <v/>
      </c>
      <c r="I16" s="10" t="n">
        <v>6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8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" t="n">
        <v>63</v>
      </c>
      <c r="C17" s="6">
        <f>$B17+$Y17*Paramètres!$B$13</f>
        <v/>
      </c>
      <c r="D17" s="7">
        <f>$C17/(1-Paramètres!$B$5-Paramètres!$B$6)</f>
        <v/>
      </c>
      <c r="E17" s="6">
        <f>CEILING($D17*Paramètres!$B$24,1)</f>
        <v/>
      </c>
      <c r="F17" s="8" t="n">
        <v>105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 t="n">
        <v>0</v>
      </c>
      <c r="O17" s="11" t="n">
        <v>50</v>
      </c>
      <c r="P17" s="11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8">
        <f>IF($G17="","",$G17/$Y17)</f>
        <v/>
      </c>
      <c r="AA17" s="4">
        <f>IF($Z17="","",IF($Z17&gt;=25,"atteint",TEXT(25-$Z17,"0.00")&amp;" € manquants"))</f>
        <v/>
      </c>
    </row>
    <row r="18">
      <c r="A18" s="4" t="inlineStr">
        <is>
          <t>ADIDAS x STELLA McCARTNEY ASMC Ultraboost 21 P.36 — modèle d'exposition</t>
        </is>
      </c>
      <c r="B18" s="5" t="n">
        <v>37.8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79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30</v>
      </c>
      <c r="P18" s="11" t="n">
        <v>7.8</v>
      </c>
      <c r="Q18" s="12" t="inlineStr">
        <is>
          <t>ADN Le Mans</t>
        </is>
      </c>
      <c r="R18" s="12" t="inlineStr">
        <is>
          <t>28/07/2026</t>
        </is>
      </c>
      <c r="S18" s="12" t="inlineStr">
        <is>
          <t>FB2026-43716</t>
        </is>
      </c>
      <c r="T18" s="12" t="inlineStr">
        <is>
          <t>434</t>
        </is>
      </c>
      <c r="U18" s="4" t="inlineStr">
        <is>
          <t>Boutique</t>
        </is>
      </c>
      <c r="V18" s="4" t="inlineStr"/>
      <c r="W18" s="4" t="inlineStr">
        <is>
          <t>Normal</t>
        </is>
      </c>
      <c r="X18" s="4" t="inlineStr"/>
      <c r="Y18" s="4" t="n">
        <v>1</v>
      </c>
      <c r="Z18" s="8">
        <f>IF($G18="","",$G18/$Y18)</f>
        <v/>
      </c>
      <c r="AA18" s="4">
        <f>IF($Z18="","",IF($Z18&gt;=25,"atteint",TEXT(25-$Z18,"0.00")&amp;" € manquants"))</f>
        <v/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91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8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PHILIPP PLEIN SPORT baskets montantes P.40 — neuves</t>
        </is>
      </c>
      <c r="B20" s="5" t="n">
        <v>57.51</v>
      </c>
      <c r="C20" s="6">
        <f>$B20+$Y20*Paramètres!$B$13</f>
        <v/>
      </c>
      <c r="D20" s="7">
        <f>$C20/(1-Paramètres!$B$5-Paramètres!$B$6)</f>
        <v/>
      </c>
      <c r="E20" s="6">
        <f>CEILING($D20*Paramètres!$B$24,1)</f>
        <v/>
      </c>
      <c r="F20" s="8" t="n">
        <v>95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 t="n">
        <v>0</v>
      </c>
      <c r="O20" s="11" t="n">
        <v>45</v>
      </c>
      <c r="P20" s="11" t="n">
        <v>11.7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FB2026-6023</t>
        </is>
      </c>
      <c r="T20" s="12" t="inlineStr">
        <is>
          <t>159</t>
        </is>
      </c>
      <c r="U20" s="4" t="inlineStr">
        <is>
          <t>Leboncoin + eBay</t>
        </is>
      </c>
      <c r="V20" s="4" t="inlineStr"/>
      <c r="W20" s="4" t="inlineStr">
        <is>
          <t>Plafonné par le marché</t>
        </is>
      </c>
      <c r="X20" s="4" t="inlineStr"/>
      <c r="Y20" s="4" t="n">
        <v>1</v>
      </c>
      <c r="Z20" s="8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CHIARA FERRAGNI robe bustier courte T.M — neuve</t>
        </is>
      </c>
      <c r="B21" s="5" t="n">
        <v>31.95</v>
      </c>
      <c r="C21" s="6">
        <f>$B21+$Y21*Paramètres!$B$13</f>
        <v/>
      </c>
      <c r="D21" s="7">
        <f>$C21/(1-Paramètres!$B$5-Paramètres!$B$6-Paramètres!$B$7)</f>
        <v/>
      </c>
      <c r="E21" s="6">
        <f>CEILING($D21*Paramètres!$B$24,1)</f>
        <v/>
      </c>
      <c r="F21" s="8" t="n">
        <v>69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>
        <f>IF($F21="","",$F21*Paramètres!$B$7)</f>
        <v/>
      </c>
      <c r="O21" s="11" t="n">
        <v>25</v>
      </c>
      <c r="P21" s="11" t="n">
        <v>6.5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FB2026-5996</t>
        </is>
      </c>
      <c r="T21" s="12" t="inlineStr">
        <is>
          <t>123</t>
        </is>
      </c>
      <c r="U21" s="4" t="inlineStr">
        <is>
          <t>Boutique + Leboncoin</t>
        </is>
      </c>
      <c r="V21" s="4" t="inlineStr"/>
      <c r="W21" s="4" t="inlineStr">
        <is>
          <t>Normal</t>
        </is>
      </c>
      <c r="X21" s="4" t="inlineStr"/>
      <c r="Y21" s="4" t="n">
        <v>1</v>
      </c>
      <c r="Z21" s="8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62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8">
        <f>IF($G22="","",$G22/$Y22)</f>
        <v/>
      </c>
      <c r="AA22" s="4">
        <f>IF($Z22="","",IF($Z22&gt;=25,"atteint",TEXT(25-$Z22,"0.00")&amp;" € manquants"))</f>
        <v/>
      </c>
    </row>
    <row r="23">
      <c r="A23" s="22" t="inlineStr">
        <is>
          <t>Lot de 4 toupies BEYBLADE HASBRO</t>
        </is>
      </c>
      <c r="B23" s="23" t="n">
        <v>19.17</v>
      </c>
      <c r="C23" s="24">
        <f>$B23+$Y23*Paramètres!$B$13</f>
        <v/>
      </c>
      <c r="D23" s="25">
        <f>$C23/(1-Paramètres!$B$5-Paramètres!$B$6)</f>
        <v/>
      </c>
      <c r="E23" s="24">
        <f>CEILING($D23*Paramètres!$B$24,1)</f>
        <v/>
      </c>
      <c r="F23" s="26" t="n">
        <v>55</v>
      </c>
      <c r="G23" s="26">
        <f>IF($F23="","",$F23-$C23-$M23-$N23)</f>
        <v/>
      </c>
      <c r="H23" s="27">
        <f>IF($G23="","",$G23/$C23)</f>
        <v/>
      </c>
      <c r="I23" s="28" t="n">
        <v>4</v>
      </c>
      <c r="J23" s="24">
        <f>$C23/$I23</f>
        <v/>
      </c>
      <c r="K23" s="24">
        <f>IF($F23="","",$F23/$I23)</f>
        <v/>
      </c>
      <c r="L23" s="24">
        <f>IF($G23="","",$G23/$I23)</f>
        <v/>
      </c>
      <c r="M23" s="25">
        <f>IF($F23="","",$F23*(Paramètres!$B$5+Paramètres!$B$6))</f>
        <v/>
      </c>
      <c r="N23" s="24" t="n">
        <v>0</v>
      </c>
      <c r="O23" s="29" t="n">
        <v>15</v>
      </c>
      <c r="P23" s="29" t="n">
        <v>3.9</v>
      </c>
      <c r="Q23" s="30" t="inlineStr">
        <is>
          <t>ADN Le Mans</t>
        </is>
      </c>
      <c r="R23" s="30" t="inlineStr">
        <is>
          <t>03/08/2026</t>
        </is>
      </c>
      <c r="S23" s="30" t="inlineStr">
        <is>
          <t>FB2026-44192</t>
        </is>
      </c>
      <c r="T23" s="30" t="inlineStr">
        <is>
          <t>159</t>
        </is>
      </c>
      <c r="U23" s="22" t="inlineStr">
        <is>
          <t>Leboncoin + eBay, en lot</t>
        </is>
      </c>
      <c r="V23" s="22" t="inlineStr"/>
      <c r="W23" s="22" t="inlineStr">
        <is>
          <t>Normal</t>
        </is>
      </c>
      <c r="X23" s="22" t="inlineStr"/>
      <c r="Y23" s="22" t="n">
        <v>1</v>
      </c>
      <c r="Z23" s="26">
        <f>IF($G23="","",$G23/$Y23)</f>
        <v/>
      </c>
      <c r="AA23" s="22">
        <f>IF($Z23="","",IF($Z23&gt;=25,"atteint",TEXT(25-$Z23,"0.00")&amp;" € manquants"))</f>
        <v/>
      </c>
    </row>
    <row r="24">
      <c r="A24" s="4" t="inlineStr">
        <is>
          <t>Ballerines MASSIMO DUTTI P.41 — traces d'essayage</t>
        </is>
      </c>
      <c r="B24" s="5" t="n">
        <v>25.2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61</v>
      </c>
      <c r="G24" s="8">
        <f>IF($F24="","",$F24-$C24-$M24-$N24)</f>
        <v/>
      </c>
      <c r="H24" s="9">
        <f>IF($G24="","",$G24/$C24)</f>
        <v/>
      </c>
      <c r="I24" s="10" t="n">
        <v>1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20</v>
      </c>
      <c r="P24" s="11" t="n">
        <v>5.2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FB2026-43716</t>
        </is>
      </c>
      <c r="T24" s="12" t="inlineStr">
        <is>
          <t>439</t>
        </is>
      </c>
      <c r="U24" s="4" t="inlineStr">
        <is>
          <t>Leboncoin + eBay</t>
        </is>
      </c>
      <c r="V24" s="4" t="inlineStr"/>
      <c r="W24" s="4" t="inlineStr">
        <is>
          <t>Normal</t>
        </is>
      </c>
      <c r="X24" s="4" t="inlineStr"/>
      <c r="Y24" s="4" t="n">
        <v>1</v>
      </c>
      <c r="Z24" s="8">
        <f>IF($G24="","",$G24/$Y24)</f>
        <v/>
      </c>
      <c r="AA24" s="4">
        <f>IF($Z24="","",IF($Z24&gt;=25,"atteint",TEXT(25-$Z24,"0.00")&amp;" € manquants"))</f>
        <v/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54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Plafonné par le marché</t>
        </is>
      </c>
      <c r="X25" s="4" t="inlineStr"/>
      <c r="Y25" s="4" t="n">
        <v>1</v>
      </c>
      <c r="Z25" s="8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1 booster box Pokémon MEGA Nihil Zero (Munikis Zero) M3 — 30 boosters de 5 cartes — 2 lots de 15 à 49 €, blister à photographier avant ouverture</t>
        </is>
      </c>
      <c r="B26" s="5" t="n">
        <v>69.23999999999999</v>
      </c>
      <c r="C26" s="6">
        <f>$B26</f>
        <v/>
      </c>
      <c r="D26" s="7">
        <f>$C26/(1-Paramètres!$B$5-Paramètres!$B$6)</f>
        <v/>
      </c>
      <c r="E26" s="6">
        <f>CEILING($D26*Paramètres!$B$24,1)</f>
        <v/>
      </c>
      <c r="F26" s="8" t="n">
        <v>98</v>
      </c>
      <c r="G26" s="8">
        <f>IF($F26="","",$F26-$C26-$M26-$N26)</f>
        <v/>
      </c>
      <c r="H26" s="9">
        <f>IF($G26="","",$G26/$C26)</f>
        <v/>
      </c>
      <c r="I26" s="10" t="n">
        <v>2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31" t="n"/>
      <c r="P26" s="31" t="n"/>
      <c r="Q26" s="12" t="inlineStr">
        <is>
          <t>Meccha Japan</t>
        </is>
      </c>
      <c r="R26" s="12" t="inlineStr">
        <is>
          <t>03/08/2026</t>
        </is>
      </c>
      <c r="S26" s="12" t="inlineStr">
        <is>
          <t>#FA429713</t>
        </is>
      </c>
      <c r="T26" s="12" t="inlineStr">
        <is>
          <t>4521329432274</t>
        </is>
      </c>
      <c r="U26" s="4" t="inlineStr">
        <is>
          <t>Leboncoin, lots de 15</t>
        </is>
      </c>
      <c r="V26" s="4" t="inlineStr"/>
      <c r="W26" s="4" t="inlineStr">
        <is>
          <t>Normal</t>
        </is>
      </c>
      <c r="X26" s="4" t="inlineStr"/>
      <c r="Y26" s="4" t="n">
        <v>2</v>
      </c>
      <c r="Z26" s="8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Short BA&amp;SH Fegor T.34 — neuf</t>
        </is>
      </c>
      <c r="B27" s="5" t="n">
        <v>50.4</v>
      </c>
      <c r="C27" s="6">
        <f>$B27+$Y27*Paramètres!$B$13</f>
        <v/>
      </c>
      <c r="D27" s="7">
        <f>$C27/(1-Paramètres!$B$5-Paramètres!$B$6-Paramètres!$B$7)</f>
        <v/>
      </c>
      <c r="E27" s="6">
        <f>CEILING($D27*Paramètres!$B$24,1)</f>
        <v/>
      </c>
      <c r="F27" s="8" t="n">
        <v>75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>
        <f>IF($F27="","",$F27*Paramètres!$B$7)</f>
        <v/>
      </c>
      <c r="O27" s="11" t="n">
        <v>40</v>
      </c>
      <c r="P27" s="11" t="n">
        <v>10.4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408</t>
        </is>
      </c>
      <c r="U27" s="4" t="inlineStr">
        <is>
          <t>Boutique</t>
        </is>
      </c>
      <c r="V27" s="4" t="inlineStr"/>
      <c r="W27" s="4" t="inlineStr">
        <is>
          <t>URGENT — saisonnier</t>
        </is>
      </c>
      <c r="X27" s="4" t="inlineStr"/>
      <c r="Y27" s="4" t="n">
        <v>1</v>
      </c>
      <c r="Z27" s="8">
        <f>IF($G27="","",$G27/$Y27)</f>
        <v/>
      </c>
      <c r="AA27" s="4">
        <f>IF($Z27="","",IF($Z27&gt;=25,"atteint",TEXT(25-$Z27,"0.00")&amp;" € manquants"))</f>
        <v/>
      </c>
    </row>
    <row r="28">
      <c r="A28" s="4" t="inlineStr">
        <is>
          <t>NEW BALANCE G19064IK Alkaline Green P.38½ — neuves avec boîte</t>
        </is>
      </c>
      <c r="B28" s="5" t="n">
        <v>75.59999999999999</v>
      </c>
      <c r="C28" s="6">
        <f>$B28+$Y28*Paramètres!$B$13</f>
        <v/>
      </c>
      <c r="D28" s="7">
        <f>$C28/(1-Paramètres!$B$5-Paramètres!$B$6)</f>
        <v/>
      </c>
      <c r="E28" s="6">
        <f>CEILING($D28*Paramètres!$B$24,1)</f>
        <v/>
      </c>
      <c r="F28" s="8" t="n">
        <v>99</v>
      </c>
      <c r="G28" s="8">
        <f>IF($F28="","",$F28-$C28-$M28-$N28)</f>
        <v/>
      </c>
      <c r="H28" s="9">
        <f>IF($G28="","",$G28/$C28)</f>
        <v/>
      </c>
      <c r="I28" s="10" t="n">
        <v>1</v>
      </c>
      <c r="J28" s="6">
        <f>$C28/$I28</f>
        <v/>
      </c>
      <c r="K28" s="6">
        <f>IF($F28="","",$F28/$I28)</f>
        <v/>
      </c>
      <c r="L28" s="6">
        <f>IF($G28="","",$G28/$I28)</f>
        <v/>
      </c>
      <c r="M28" s="7">
        <f>IF($F28="","",$F28*(Paramètres!$B$5+Paramètres!$B$6))</f>
        <v/>
      </c>
      <c r="N28" s="6" t="n">
        <v>0</v>
      </c>
      <c r="O28" s="11" t="n">
        <v>60</v>
      </c>
      <c r="P28" s="11" t="n">
        <v>15.6</v>
      </c>
      <c r="Q28" s="12" t="inlineStr">
        <is>
          <t>ADN Le Mans</t>
        </is>
      </c>
      <c r="R28" s="12" t="inlineStr">
        <is>
          <t>28/07/2026</t>
        </is>
      </c>
      <c r="S28" s="12" t="inlineStr">
        <is>
          <t>FB2026-43716</t>
        </is>
      </c>
      <c r="T28" s="12" t="inlineStr">
        <is>
          <t>199</t>
        </is>
      </c>
      <c r="U28" s="4" t="inlineStr">
        <is>
          <t>Leboncoin</t>
        </is>
      </c>
      <c r="V28" s="4" t="inlineStr"/>
      <c r="W28" s="4" t="inlineStr">
        <is>
          <t>Liquider</t>
        </is>
      </c>
      <c r="X28" s="4" t="inlineStr"/>
      <c r="Y28" s="4" t="n">
        <v>1</v>
      </c>
      <c r="Z28" s="8">
        <f>IF($G28="","",$G28/$Y28)</f>
        <v/>
      </c>
      <c r="AA28" s="4">
        <f>IF($Z28="","",IF($Z28&gt;=25,"atteint",TEXT(25-$Z28,"0.00")&amp;" € manquants"))</f>
        <v/>
      </c>
    </row>
    <row r="29">
      <c r="A29" s="13" t="inlineStr">
        <is>
          <t>SALOMON X Ultra 5 Mid GTX P.44 — neuves</t>
        </is>
      </c>
      <c r="B29" s="14" t="n">
        <v>76.68000000000001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100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60</v>
      </c>
      <c r="P29" s="20" t="n">
        <v>15.6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FB2026-44192</t>
        </is>
      </c>
      <c r="T29" s="21" t="inlineStr">
        <is>
          <t>11</t>
        </is>
      </c>
      <c r="U29" s="13" t="inlineStr">
        <is>
          <t>Vinted, Italie — non encaissé</t>
        </is>
      </c>
      <c r="V29" s="13" t="inlineStr"/>
      <c r="W29" s="13" t="inlineStr">
        <is>
          <t>VENDUE, en attente</t>
        </is>
      </c>
      <c r="X29" s="13" t="inlineStr">
        <is>
          <t>12/08/2026</t>
        </is>
      </c>
      <c r="Y29" s="13" t="n">
        <v>1</v>
      </c>
      <c r="Z29" s="17">
        <f>IF($G29="","",$G29/$Y29)</f>
        <v/>
      </c>
      <c r="AA29" s="13">
        <f>IF($Z29="","",IF($Z29&gt;=25,"atteint",TEXT(25-$Z29,"0.00")&amp;" € manquants"))</f>
        <v/>
      </c>
    </row>
    <row r="30">
      <c r="A30" s="13" t="inlineStr">
        <is>
          <t>T-shirt BALENCIAGA T.2 — neuf</t>
        </is>
      </c>
      <c r="B30" s="14" t="n">
        <v>113.4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135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90</v>
      </c>
      <c r="P30" s="20" t="n">
        <v>23.4</v>
      </c>
      <c r="Q30" s="21" t="inlineStr">
        <is>
          <t>ADN Le Mans</t>
        </is>
      </c>
      <c r="R30" s="21" t="inlineStr">
        <is>
          <t>03/08/2026</t>
        </is>
      </c>
      <c r="S30" s="21" t="inlineStr">
        <is>
          <t>FB2026-44194</t>
        </is>
      </c>
      <c r="T30" s="21" t="inlineStr">
        <is>
          <t>9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  <c r="Z30" s="17">
        <f>IF($G30="","",$G30/$Y30)</f>
        <v/>
      </c>
      <c r="AA30" s="13">
        <f>IF($Z30="","",IF($Z30&gt;=25,"atteint",TEXT(25-$Z30,"0.00")&amp;" € manquants"))</f>
        <v/>
      </c>
    </row>
    <row r="31">
      <c r="A31" s="13" t="inlineStr">
        <is>
          <t>Sac demi-lune nylon noir KARL LAGERFELD JEANS — neuf avec étiquette</t>
        </is>
      </c>
      <c r="B31" s="14" t="n">
        <v>50.4</v>
      </c>
      <c r="C31" s="15">
        <f>$B31+$Y31*Paramètres!$B$13</f>
        <v/>
      </c>
      <c r="D31" s="16">
        <f>$C31/(1-Paramètres!$B$5-Paramètres!$B$6)</f>
        <v/>
      </c>
      <c r="E31" s="15">
        <f>CEILING($D31*Paramètres!$B$24,1)</f>
        <v/>
      </c>
      <c r="F31" s="17" t="n">
        <v>70</v>
      </c>
      <c r="G31" s="17">
        <f>IF($F31="","",$F31-$C31-$M31-$N31)</f>
        <v/>
      </c>
      <c r="H31" s="18">
        <f>IF($G31="","",$G31/$C31)</f>
        <v/>
      </c>
      <c r="I31" s="19" t="n">
        <v>1</v>
      </c>
      <c r="J31" s="15">
        <f>$C31/$I31</f>
        <v/>
      </c>
      <c r="K31" s="15">
        <f>IF($F31="","",$F31/$I31)</f>
        <v/>
      </c>
      <c r="L31" s="15">
        <f>IF($G31="","",$G31/$I31)</f>
        <v/>
      </c>
      <c r="M31" s="16">
        <f>IF($F31="","",$F31*(Paramètres!$B$5+Paramètres!$B$6))</f>
        <v/>
      </c>
      <c r="N31" s="15" t="n">
        <v>0</v>
      </c>
      <c r="O31" s="20" t="n">
        <v>40</v>
      </c>
      <c r="P31" s="20" t="n">
        <v>10.4</v>
      </c>
      <c r="Q31" s="21" t="inlineStr">
        <is>
          <t>ADN Le Mans</t>
        </is>
      </c>
      <c r="R31" s="21" t="inlineStr">
        <is>
          <t>28/07/2026</t>
        </is>
      </c>
      <c r="S31" s="21" t="inlineStr">
        <is>
          <t>FB2026-43716</t>
        </is>
      </c>
      <c r="T31" s="21" t="inlineStr">
        <is>
          <t>431</t>
        </is>
      </c>
      <c r="U31" s="13" t="inlineStr">
        <is>
          <t>vendu</t>
        </is>
      </c>
      <c r="V31" s="13" t="inlineStr"/>
      <c r="W31" s="13" t="inlineStr">
        <is>
          <t>VENDU</t>
        </is>
      </c>
      <c r="X31" s="13" t="inlineStr">
        <is>
          <t>VENDU</t>
        </is>
      </c>
      <c r="Y31" s="13" t="n">
        <v>1</v>
      </c>
      <c r="Z31" s="17">
        <f>IF($G31="","",$G31/$Y31)</f>
        <v/>
      </c>
      <c r="AA31" s="13">
        <f>IF($Z31="","",IF($Z31&gt;=25,"atteint",TEXT(25-$Z31,"0.00")&amp;" € manquants"))</f>
        <v/>
      </c>
    </row>
    <row r="32">
      <c r="A32" s="4" t="inlineStr">
        <is>
          <t>EMPORIO ARMANI baskets P.36 — neuves</t>
        </is>
      </c>
      <c r="B32" s="5" t="n">
        <v>51.12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69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40</v>
      </c>
      <c r="P32" s="11" t="n">
        <v>10.4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150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  <c r="Z32" s="8">
        <f>IF($G32="","",$G32/$Y32)</f>
        <v/>
      </c>
      <c r="AA32" s="4">
        <f>IF($Z32="","",IF($Z32&gt;=25,"atteint",TEXT(25-$Z32,"0.00")&amp;" € manquants"))</f>
        <v/>
      </c>
    </row>
    <row r="33">
      <c r="A33" s="22" t="inlineStr">
        <is>
          <t>Lot de 4 toupies BEYBLADE HASBRO</t>
        </is>
      </c>
      <c r="B33" s="23" t="n">
        <v>38.34</v>
      </c>
      <c r="C33" s="24">
        <f>$B33+$Y33*Paramètres!$B$13</f>
        <v/>
      </c>
      <c r="D33" s="25">
        <f>$C33/(1-Paramètres!$B$5-Paramètres!$B$6)</f>
        <v/>
      </c>
      <c r="E33" s="24">
        <f>CEILING($D33*Paramètres!$B$24,1)</f>
        <v/>
      </c>
      <c r="F33" s="26" t="n">
        <v>55</v>
      </c>
      <c r="G33" s="26">
        <f>IF($F33="","",$F33-$C33-$M33-$N33)</f>
        <v/>
      </c>
      <c r="H33" s="27">
        <f>IF($G33="","",$G33/$C33)</f>
        <v/>
      </c>
      <c r="I33" s="28" t="n">
        <v>4</v>
      </c>
      <c r="J33" s="24">
        <f>$C33/$I33</f>
        <v/>
      </c>
      <c r="K33" s="24">
        <f>IF($F33="","",$F33/$I33)</f>
        <v/>
      </c>
      <c r="L33" s="24">
        <f>IF($G33="","",$G33/$I33)</f>
        <v/>
      </c>
      <c r="M33" s="25">
        <f>IF($F33="","",$F33*(Paramètres!$B$5+Paramètres!$B$6))</f>
        <v/>
      </c>
      <c r="N33" s="24" t="n">
        <v>0</v>
      </c>
      <c r="O33" s="29" t="n">
        <v>30</v>
      </c>
      <c r="P33" s="29" t="n">
        <v>7.8</v>
      </c>
      <c r="Q33" s="30" t="inlineStr">
        <is>
          <t>ADN Le Mans</t>
        </is>
      </c>
      <c r="R33" s="30" t="inlineStr">
        <is>
          <t>03/08/2026</t>
        </is>
      </c>
      <c r="S33" s="30" t="inlineStr">
        <is>
          <t>FB2026-44192</t>
        </is>
      </c>
      <c r="T33" s="30" t="inlineStr">
        <is>
          <t>299</t>
        </is>
      </c>
      <c r="U33" s="22" t="inlineStr">
        <is>
          <t>Leboncoin + eBay, en lot</t>
        </is>
      </c>
      <c r="V33" s="22" t="inlineStr"/>
      <c r="W33" s="22" t="inlineStr">
        <is>
          <t>Marge faible</t>
        </is>
      </c>
      <c r="X33" s="22" t="inlineStr"/>
      <c r="Y33" s="22" t="n">
        <v>1</v>
      </c>
      <c r="Z33" s="26">
        <f>IF($G33="","",$G33/$Y33)</f>
        <v/>
      </c>
      <c r="AA33" s="22">
        <f>IF($Z33="","",IF($Z33&gt;=25,"atteint",TEXT(25-$Z33,"0.00")&amp;" € manquants"))</f>
        <v/>
      </c>
    </row>
    <row r="34">
      <c r="A34" s="4" t="inlineStr">
        <is>
          <t>NEW BALANCE sneakers P.38 — neuves</t>
        </is>
      </c>
      <c r="B34" s="5" t="n">
        <v>38.34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54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30</v>
      </c>
      <c r="P34" s="11" t="n">
        <v>7.8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114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  <c r="Z34" s="8">
        <f>IF($G34="","",$G34/$Y34)</f>
        <v/>
      </c>
      <c r="AA34" s="4">
        <f>IF($Z34="","",IF($Z34&gt;=25,"atteint",TEXT(25-$Z34,"0.00")&amp;" € manquants"))</f>
        <v/>
      </c>
    </row>
    <row r="35">
      <c r="A35" s="13" t="inlineStr">
        <is>
          <t>Veste en jean ARMANI EXCHANGE T.S — neuve</t>
        </is>
      </c>
      <c r="B35" s="14" t="n">
        <v>25.2</v>
      </c>
      <c r="C35" s="15">
        <f>$B35+$Y35*Paramètres!$B$13</f>
        <v/>
      </c>
      <c r="D35" s="16">
        <f>$C35/(1-Paramètres!$B$5-Paramètres!$B$6)</f>
        <v/>
      </c>
      <c r="E35" s="15">
        <f>CEILING($D35*Paramètres!$B$24,1)</f>
        <v/>
      </c>
      <c r="F35" s="17" t="n">
        <v>40</v>
      </c>
      <c r="G35" s="17">
        <f>IF($F35="","",$F35-$C35-$M35-$N35)</f>
        <v/>
      </c>
      <c r="H35" s="18">
        <f>IF($G35="","",$G35/$C35)</f>
        <v/>
      </c>
      <c r="I35" s="19" t="n">
        <v>1</v>
      </c>
      <c r="J35" s="15">
        <f>$C35/$I35</f>
        <v/>
      </c>
      <c r="K35" s="15">
        <f>IF($F35="","",$F35/$I35)</f>
        <v/>
      </c>
      <c r="L35" s="15">
        <f>IF($G35="","",$G35/$I35)</f>
        <v/>
      </c>
      <c r="M35" s="16">
        <f>IF($F35="","",$F35*(Paramètres!$B$5+Paramètres!$B$6))</f>
        <v/>
      </c>
      <c r="N35" s="15" t="n">
        <v>0</v>
      </c>
      <c r="O35" s="20" t="n">
        <v>20</v>
      </c>
      <c r="P35" s="20" t="n">
        <v>5.2</v>
      </c>
      <c r="Q35" s="21" t="inlineStr">
        <is>
          <t>ADN Le Mans</t>
        </is>
      </c>
      <c r="R35" s="21" t="inlineStr">
        <is>
          <t>28/07/2026</t>
        </is>
      </c>
      <c r="S35" s="21" t="inlineStr">
        <is>
          <t>FB2026-43717</t>
        </is>
      </c>
      <c r="T35" s="21" t="inlineStr">
        <is>
          <t>168</t>
        </is>
      </c>
      <c r="U35" s="13" t="inlineStr">
        <is>
          <t>vendu</t>
        </is>
      </c>
      <c r="V35" s="13" t="inlineStr"/>
      <c r="W35" s="13" t="inlineStr">
        <is>
          <t>VENDU</t>
        </is>
      </c>
      <c r="X35" s="13" t="inlineStr">
        <is>
          <t>VENDU</t>
        </is>
      </c>
      <c r="Y35" s="13" t="n">
        <v>1</v>
      </c>
      <c r="Z35" s="17">
        <f>IF($G35="","",$G35/$Y35)</f>
        <v/>
      </c>
      <c r="AA35" s="13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" t="n">
        <v>51.12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65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40</v>
      </c>
      <c r="P36" s="11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8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" t="n">
        <v>52.4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41</v>
      </c>
      <c r="P37" s="11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8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14" t="n">
        <v>57.51</v>
      </c>
      <c r="C38" s="15">
        <f>$B38+$Y38*Paramètres!$B$13</f>
        <v/>
      </c>
      <c r="D38" s="16">
        <f>$C38/(1-Paramètres!$B$5-Paramètres!$B$6)</f>
        <v/>
      </c>
      <c r="E38" s="15">
        <f>CEILING($D38*Paramètres!$B$24,1)</f>
        <v/>
      </c>
      <c r="F38" s="17" t="n">
        <v>70</v>
      </c>
      <c r="G38" s="17">
        <f>IF($F38="","",$F38-$C38-$M38-$N38)</f>
        <v/>
      </c>
      <c r="H38" s="18">
        <f>IF($G38="","",$G38/$C38)</f>
        <v/>
      </c>
      <c r="I38" s="19" t="n">
        <v>1</v>
      </c>
      <c r="J38" s="15">
        <f>$C38/$I38</f>
        <v/>
      </c>
      <c r="K38" s="15">
        <f>IF($F38="","",$F38/$I38)</f>
        <v/>
      </c>
      <c r="L38" s="15">
        <f>IF($G38="","",$G38/$I38)</f>
        <v/>
      </c>
      <c r="M38" s="16">
        <f>IF($F38="","",$F38*(Paramètres!$B$5+Paramètres!$B$6))</f>
        <v/>
      </c>
      <c r="N38" s="15" t="n">
        <v>0</v>
      </c>
      <c r="O38" s="20" t="n">
        <v>45</v>
      </c>
      <c r="P38" s="20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17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" t="n">
        <v>35.9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45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8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" t="n">
        <v>28.29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35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8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" t="n">
        <v>12.74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19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8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14" t="n">
        <v>12.95</v>
      </c>
      <c r="C42" s="15">
        <f>$B42</f>
        <v/>
      </c>
      <c r="D42" s="16">
        <f>$C42/(1-Paramètres!$B$5-Paramètres!$B$6)</f>
        <v/>
      </c>
      <c r="E42" s="15">
        <f>CEILING($D42*Paramètres!$B$24,1)</f>
        <v/>
      </c>
      <c r="F42" s="32" t="n"/>
      <c r="G42" s="17">
        <f>IF($F42="","",$F42-$C42-$M42-$N42)</f>
        <v/>
      </c>
      <c r="H42" s="18">
        <f>IF($G42="","",$G42/$C42)</f>
        <v/>
      </c>
      <c r="I42" s="19" t="n">
        <v>1</v>
      </c>
      <c r="J42" s="15">
        <f>$C42/$I42</f>
        <v/>
      </c>
      <c r="K42" s="15">
        <f>IF($F42="","",$F42/$I42)</f>
        <v/>
      </c>
      <c r="L42" s="15">
        <f>IF($G42="","",$G42/$I42)</f>
        <v/>
      </c>
      <c r="M42" s="16">
        <f>IF($F42="","",$F42*(Paramètres!$B$5+Paramètres!$B$6))</f>
        <v/>
      </c>
      <c r="N42" s="15" t="n">
        <v>0</v>
      </c>
      <c r="O42" s="32" t="n"/>
      <c r="P42" s="32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Prélevé — usage personnel</t>
        </is>
      </c>
      <c r="V42" s="13" t="inlineStr"/>
      <c r="W42" s="13" t="inlineStr">
        <is>
          <t>PRÉLEVÉ</t>
        </is>
      </c>
      <c r="X42" s="13" t="inlineStr">
        <is>
          <t>PRÉLEVÉ 13/08</t>
        </is>
      </c>
      <c r="Y42" s="13" t="n">
        <v>1</v>
      </c>
      <c r="Z42" s="17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14" t="n">
        <v>19.41</v>
      </c>
      <c r="C43" s="15">
        <f>$B43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17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14" t="n">
        <v>50.4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40</v>
      </c>
      <c r="P44" s="20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17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14" t="n">
        <v>63</v>
      </c>
      <c r="C45" s="15">
        <f>$B45+$Y45*Paramètres!$B$13</f>
        <v/>
      </c>
      <c r="D45" s="16">
        <f>$C45/(1-Paramètres!$B$5-Paramètres!$B$6)</f>
        <v/>
      </c>
      <c r="E45" s="15">
        <f>CEILING($D45*Paramètres!$B$24,1)</f>
        <v/>
      </c>
      <c r="F45" s="32" t="n"/>
      <c r="G45" s="17">
        <f>IF($F45="","",$F45-$C45-$M45-$N45)</f>
        <v/>
      </c>
      <c r="H45" s="18">
        <f>IF($G45="","",$G45/$C45)</f>
        <v/>
      </c>
      <c r="I45" s="19" t="n">
        <v>1</v>
      </c>
      <c r="J45" s="15">
        <f>$C45/$I45</f>
        <v/>
      </c>
      <c r="K45" s="15">
        <f>IF($F45="","",$F45/$I45)</f>
        <v/>
      </c>
      <c r="L45" s="15">
        <f>IF($G45="","",$G45/$I45)</f>
        <v/>
      </c>
      <c r="M45" s="16">
        <f>IF($F45="","",$F45*(Paramètres!$B$5+Paramètres!$B$6))</f>
        <v/>
      </c>
      <c r="N45" s="15" t="n">
        <v>0</v>
      </c>
      <c r="O45" s="20" t="n">
        <v>50</v>
      </c>
      <c r="P45" s="20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17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4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47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47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52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52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52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6">
        <f>89*(B39-B37)+(B40-B38)</f>
        <v/>
      </c>
      <c r="C47" s="2" t="inlineStr">
        <is>
          <t>multiplié par le nombre de ventes encaissées ainsi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3" t="inlineStr">
        <is>
          <t>Facture</t>
        </is>
      </c>
      <c r="B42" s="53" t="inlineStr">
        <is>
          <t>Date</t>
        </is>
      </c>
      <c r="C42" s="53" t="inlineStr">
        <is>
          <t>Maison</t>
        </is>
      </c>
      <c r="D42" s="53" t="inlineStr">
        <is>
          <t>Commande</t>
        </is>
      </c>
      <c r="E42" s="53" t="inlineStr">
        <is>
          <t>Désignation</t>
        </is>
      </c>
      <c r="F42" s="53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2026-08-15T05:50:23Z</dcterms:created>
  <dcterms:modified xsi:type="dcterms:W3CDTF">2026-08-15T05:50:24Z</dcterms:modified>
</cp:coreProperties>
</file>