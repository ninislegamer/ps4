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" sheetId="1" state="visible" r:id="rId1"/>
    <sheet name="Stock complet" sheetId="2" state="visible" r:id="rId2"/>
    <sheet name="Synthèse" sheetId="3" state="visible" r:id="rId3"/>
    <sheet name="Légende" sheetId="4" state="visible" r:id="rId4"/>
  </sheets>
  <definedNames>
    <definedName name="_xlnm._FilterDatabase" localSheetId="1" hidden="1">'Stock complet'!$A$4:$U$30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0.000"/>
    <numFmt numFmtId="167" formatCode="#,##0 &quot;art.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595959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166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0" fontId="7" fillId="4" borderId="1" pivotButton="0" quotePrefix="0" xfId="0"/>
    <xf numFmtId="9" fontId="4" fillId="4" borderId="1" pivotButton="0" quotePrefix="0" xfId="0"/>
    <xf numFmtId="165" fontId="3" fillId="4" borderId="1" pivotButton="0" quotePrefix="0" xfId="0"/>
    <xf numFmtId="0" fontId="4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0" fontId="7" fillId="0" borderId="1" pivotButton="0" quotePrefix="0" xfId="0"/>
    <xf numFmtId="9" fontId="4" fillId="0" borderId="1" pivotButton="0" quotePrefix="0" xfId="0"/>
    <xf numFmtId="165" fontId="3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3" fillId="5" borderId="1" pivotButton="0" quotePrefix="0" xfId="0"/>
    <xf numFmtId="0" fontId="0" fillId="5" borderId="1" pivotButton="0" quotePrefix="0" xfId="0"/>
    <xf numFmtId="167" fontId="3" fillId="5" borderId="1" pivotButton="0" quotePrefix="0" xfId="0"/>
    <xf numFmtId="165" fontId="3" fillId="5" borderId="1" pivotButton="0" quotePrefix="0" xfId="0"/>
    <xf numFmtId="9" fontId="3" fillId="5" borderId="1" pivotButton="0" quotePrefix="0" xfId="0"/>
    <xf numFmtId="0" fontId="8" fillId="0" borderId="0" pivotButton="0" quotePrefix="0" xfId="0"/>
    <xf numFmtId="3" fontId="4" fillId="0" borderId="1" pivotButton="0" quotePrefix="0" xfId="0"/>
    <xf numFmtId="3" fontId="3" fillId="0" borderId="1" pivotButton="0" quotePrefix="0" xfId="0"/>
    <xf numFmtId="165" fontId="3" fillId="2" borderId="1" pivotButton="0" quotePrefix="0" xfId="0"/>
    <xf numFmtId="164" fontId="4" fillId="0" borderId="1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Maison Nsaia — paramètres</t>
        </is>
      </c>
    </row>
    <row r="2">
      <c r="A2" s="2" t="inlineStr">
        <is>
          <t>Cellules jaunes : les seules à modifier. Tout le classeur se recalcule.</t>
        </is>
      </c>
    </row>
    <row r="4">
      <c r="A4" s="3" t="inlineStr">
        <is>
          <t>CHARGES SUR LE CHIFFRE D'AFFAIRES</t>
        </is>
      </c>
    </row>
    <row r="5">
      <c r="A5" s="4" t="inlineStr">
        <is>
          <t>Cotisations sociales URSSAF (achat-revente BIC)</t>
        </is>
      </c>
      <c r="B5" s="5" t="n">
        <v>0.123</v>
      </c>
      <c r="C5" s="2" t="inlineStr">
        <is>
          <t>À confirmer sur l'espace URSSAF</t>
        </is>
      </c>
    </row>
    <row r="6">
      <c r="A6" s="4" t="inlineStr">
        <is>
          <t>CFP — contribution formation professionnelle</t>
        </is>
      </c>
      <c r="B6" s="5" t="n">
        <v>0.001</v>
      </c>
    </row>
    <row r="7">
      <c r="A7" s="4" t="inlineStr">
        <is>
          <t>Commission carte Shopify Payments</t>
        </is>
      </c>
      <c r="B7" s="5" t="n">
        <v>0.015</v>
      </c>
      <c r="C7" s="2" t="inlineStr">
        <is>
          <t>Ne s'applique pas hors boutique</t>
        </is>
      </c>
    </row>
    <row r="8">
      <c r="A8" s="4" t="inlineStr">
        <is>
          <t>Frais fixe par transaction carte</t>
        </is>
      </c>
      <c r="B8" s="6" t="n">
        <v>0.25</v>
      </c>
    </row>
    <row r="10">
      <c r="A10" s="3" t="inlineStr">
        <is>
          <t>ACHAT AUX ENCHÈRES</t>
        </is>
      </c>
    </row>
    <row r="11">
      <c r="A11" s="4" t="inlineStr">
        <is>
          <t>Frais acheteur ADN Enchères</t>
        </is>
      </c>
      <c r="B11" s="5" t="n">
        <v>0.26</v>
      </c>
      <c r="C11" s="2" t="inlineStr">
        <is>
          <t>Exception : 14,28 % sur le BMW ProRain</t>
        </is>
      </c>
    </row>
    <row r="13">
      <c r="A13" s="3" t="inlineStr">
        <is>
          <t>IMPÔT SUR LE REVENU — MICRO-BIC</t>
        </is>
      </c>
    </row>
    <row r="14">
      <c r="A14" s="4" t="inlineStr">
        <is>
          <t>Abattement forfaitaire</t>
        </is>
      </c>
      <c r="B14" s="5" t="n">
        <v>0.71</v>
      </c>
      <c r="C14" s="2" t="inlineStr">
        <is>
          <t>Versement libératoire NON retenu</t>
        </is>
      </c>
    </row>
    <row r="15">
      <c r="A15" s="4" t="inlineStr">
        <is>
          <t>Tranche marginale d'imposition du foyer</t>
        </is>
      </c>
      <c r="B15" s="5" t="n">
        <v>0.11</v>
      </c>
      <c r="C15" s="2" t="inlineStr">
        <is>
          <t>0 %, 11 %, 30 %… à ajuster</t>
        </is>
      </c>
    </row>
    <row r="17">
      <c r="A17" s="3" t="inlineStr">
        <is>
          <t>FRAIS DE VENTE</t>
        </is>
      </c>
    </row>
    <row r="18">
      <c r="A18" s="4" t="inlineStr">
        <is>
          <t>Coût d'emballage par colis</t>
        </is>
      </c>
      <c r="B18" s="6" t="n">
        <v>2</v>
      </c>
    </row>
    <row r="19">
      <c r="A19" s="4" t="inlineStr">
        <is>
          <t>Nombre d'annonces / colis prévus</t>
        </is>
      </c>
      <c r="B19" s="7" t="n">
        <v>34</v>
      </c>
      <c r="C19" s="2" t="inlineStr">
        <is>
          <t>20 uniques + 12 à l'unité + 2 lots</t>
        </is>
      </c>
    </row>
    <row r="21">
      <c r="A21" s="3" t="inlineStr">
        <is>
          <t>Coefficient net (1 − URSSAF − CFP − carte)</t>
        </is>
      </c>
      <c r="B21" s="8">
        <f>1-B5-B6-B7</f>
        <v/>
      </c>
      <c r="C21" s="2" t="inlineStr">
        <is>
          <t>Marge = Prix × ce coefficient − Coût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4" customWidth="1" min="3" max="3"/>
    <col width="20" customWidth="1" min="4" max="4"/>
    <col width="6" customWidth="1" min="5" max="5"/>
    <col width="12" customWidth="1" min="6" max="6"/>
    <col width="13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1" customWidth="1" min="14" max="14"/>
    <col width="13" customWidth="1" min="15" max="15"/>
    <col width="14" customWidth="1" min="16" max="16"/>
    <col width="11" customWidth="1" min="17" max="17"/>
    <col width="26" customWidth="1" min="18" max="18"/>
    <col width="26" customWidth="1" min="19" max="19"/>
    <col width="22" customWidth="1" min="20" max="20"/>
    <col width="20" customWidth="1" min="21" max="21"/>
  </cols>
  <sheetData>
    <row r="1">
      <c r="A1" s="1" t="inlineStr">
        <is>
          <t>Maison Nsaia — stock complet</t>
        </is>
      </c>
    </row>
    <row r="2">
      <c r="A2" s="2" t="inlineStr">
        <is>
          <t>26 lignes · 63 articles physiques · trié par marge décroissante. Lignes bleutées = lots multiples.</t>
        </is>
      </c>
    </row>
    <row r="4" ht="40" customHeight="1">
      <c r="A4" s="9" t="inlineStr">
        <is>
          <t>Pièce</t>
        </is>
      </c>
      <c r="B4" s="9" t="inlineStr">
        <is>
          <t>Type</t>
        </is>
      </c>
      <c r="C4" s="9" t="inlineStr">
        <is>
          <t>Taille</t>
        </is>
      </c>
      <c r="D4" s="9" t="inlineStr">
        <is>
          <t>État</t>
        </is>
      </c>
      <c r="E4" s="9" t="inlineStr">
        <is>
          <t>Nb</t>
        </is>
      </c>
      <c r="F4" s="9" t="inlineStr">
        <is>
          <t>Coût total</t>
        </is>
      </c>
      <c r="G4" s="9" t="inlineStr">
        <is>
          <t>Coût / article</t>
        </is>
      </c>
      <c r="H4" s="9" t="inlineStr">
        <is>
          <t>Prix marché</t>
        </is>
      </c>
      <c r="I4" s="9" t="inlineStr">
        <is>
          <t>Source du prix marché</t>
        </is>
      </c>
      <c r="J4" s="9" t="inlineStr">
        <is>
          <t>Prix de vente</t>
        </is>
      </c>
      <c r="K4" s="9" t="inlineStr">
        <is>
          <t>Prix / article</t>
        </is>
      </c>
      <c r="L4" s="9" t="inlineStr">
        <is>
          <t>Écart au marché</t>
        </is>
      </c>
      <c r="M4" s="9" t="inlineStr">
        <is>
          <t>URSSAF + CFP</t>
        </is>
      </c>
      <c r="N4" s="9" t="inlineStr">
        <is>
          <t>Frais carte</t>
        </is>
      </c>
      <c r="O4" s="9" t="inlineStr">
        <is>
          <t>Marge nette</t>
        </is>
      </c>
      <c r="P4" s="9" t="inlineStr">
        <is>
          <t>Marge / article</t>
        </is>
      </c>
      <c r="Q4" s="9" t="inlineStr">
        <is>
          <t>Rendement</t>
        </is>
      </c>
      <c r="R4" s="9" t="inlineStr">
        <is>
          <t>Canal</t>
        </is>
      </c>
      <c r="S4" s="9" t="inlineStr">
        <is>
          <t>Mode de vente</t>
        </is>
      </c>
      <c r="T4" s="9" t="inlineStr">
        <is>
          <t>Statut</t>
        </is>
      </c>
      <c r="U4" s="9" t="inlineStr">
        <is>
          <t>Priorité</t>
        </is>
      </c>
    </row>
    <row r="5">
      <c r="A5" s="10" t="inlineStr">
        <is>
          <t>Adidas Predator Edge.1 TF ×2</t>
        </is>
      </c>
      <c r="B5" s="10" t="inlineStr">
        <is>
          <t>Lot</t>
        </is>
      </c>
      <c r="C5" s="10" t="inlineStr">
        <is>
          <t>48⅔</t>
        </is>
      </c>
      <c r="D5" s="10" t="inlineStr">
        <is>
          <t>Neuves avec boîte</t>
        </is>
      </c>
      <c r="E5" s="11" t="n">
        <v>2</v>
      </c>
      <c r="F5" s="12" t="n">
        <v>40</v>
      </c>
      <c r="G5" s="13">
        <f>$F5/$E5</f>
        <v/>
      </c>
      <c r="H5" s="12" t="n">
        <v>220</v>
      </c>
      <c r="I5" s="14" t="inlineStr">
        <is>
          <t>~110 € la paire</t>
        </is>
      </c>
      <c r="J5" s="12" t="n">
        <v>178</v>
      </c>
      <c r="K5" s="13">
        <f>IF($J5="","",$J5/$E5)</f>
        <v/>
      </c>
      <c r="L5" s="15">
        <f>IF(OR($H5="",$J5=""),"",$J5/$H5-1)</f>
        <v/>
      </c>
      <c r="M5" s="13">
        <f>IF($J5="","",$J5*(Paramètres!$B$5+Paramètres!$B$6))</f>
        <v/>
      </c>
      <c r="N5" s="13">
        <f>IF($J5="","",$J5*Paramètres!$B$7)</f>
        <v/>
      </c>
      <c r="O5" s="16">
        <f>IF($J5="","",$J5-$F5-$M5-$N5)</f>
        <v/>
      </c>
      <c r="P5" s="13">
        <f>IF($O5="","",$O5/$E5)</f>
        <v/>
      </c>
      <c r="Q5" s="15">
        <f>IF($O5="","",$O5/$F5)</f>
        <v/>
      </c>
      <c r="R5" s="10" t="inlineStr">
        <is>
          <t>eBay + Leboncoin</t>
        </is>
      </c>
      <c r="S5" s="10" t="inlineStr">
        <is>
          <t>À l'unité, 89 € la paire</t>
        </is>
      </c>
      <c r="T5" s="10" t="inlineStr">
        <is>
          <t>Reçues</t>
        </is>
      </c>
      <c r="U5" s="10" t="inlineStr">
        <is>
          <t>Normal</t>
        </is>
      </c>
    </row>
    <row r="6">
      <c r="A6" s="10" t="inlineStr">
        <is>
          <t>Lot 20 sandales et tongs (Relife, Tommy, Chattawak, Malabar)</t>
        </is>
      </c>
      <c r="B6" s="10" t="inlineStr">
        <is>
          <t>Lot</t>
        </is>
      </c>
      <c r="C6" s="10" t="inlineStr">
        <is>
          <t>variées</t>
        </is>
      </c>
      <c r="D6" s="10" t="inlineStr">
        <is>
          <t>Neuves</t>
        </is>
      </c>
      <c r="E6" s="11" t="n">
        <v>20</v>
      </c>
      <c r="F6" s="12" t="n">
        <v>100.7</v>
      </c>
      <c r="G6" s="13">
        <f>$F6/$E6</f>
        <v/>
      </c>
      <c r="H6" s="12" t="n">
        <v>400</v>
      </c>
      <c r="I6" s="14" t="inlineStr">
        <is>
          <t>~400 € valeur boutique du lot</t>
        </is>
      </c>
      <c r="J6" s="12" t="n">
        <v>199</v>
      </c>
      <c r="K6" s="13">
        <f>IF($J6="","",$J6/$E6)</f>
        <v/>
      </c>
      <c r="L6" s="15">
        <f>IF(OR($H6="",$J6=""),"",$J6/$H6-1)</f>
        <v/>
      </c>
      <c r="M6" s="13">
        <f>IF($J6="","",$J6*(Paramètres!$B$5+Paramètres!$B$6))</f>
        <v/>
      </c>
      <c r="N6" s="13">
        <f>IF($J6="","",$J6*Paramètres!$B$7)</f>
        <v/>
      </c>
      <c r="O6" s="16">
        <f>IF($J6="","",$J6-$F6-$M6-$N6)</f>
        <v/>
      </c>
      <c r="P6" s="13">
        <f>IF($O6="","",$O6/$E6)</f>
        <v/>
      </c>
      <c r="Q6" s="15">
        <f>IF($O6="","",$O6/$F6)</f>
        <v/>
      </c>
      <c r="R6" s="10" t="inlineStr">
        <is>
          <t>Leboncoin B2B</t>
        </is>
      </c>
      <c r="S6" s="10" t="inlineStr">
        <is>
          <t>En lot</t>
        </is>
      </c>
      <c r="T6" s="10" t="inlineStr">
        <is>
          <t>À recevoir</t>
        </is>
      </c>
      <c r="U6" s="10" t="inlineStr">
        <is>
          <t>Février-mars</t>
        </is>
      </c>
    </row>
    <row r="7">
      <c r="A7" s="17" t="inlineStr">
        <is>
          <t>Bottes Forma Legacy Waterproof</t>
        </is>
      </c>
      <c r="B7" s="17" t="inlineStr">
        <is>
          <t>Unique</t>
        </is>
      </c>
      <c r="C7" s="17" t="inlineStr">
        <is>
          <t>45</t>
        </is>
      </c>
      <c r="D7" s="17" t="inlineStr">
        <is>
          <t>Neuves</t>
        </is>
      </c>
      <c r="E7" s="18" t="n">
        <v>1</v>
      </c>
      <c r="F7" s="19" t="n">
        <v>76</v>
      </c>
      <c r="G7" s="20">
        <f>$F7/$E7</f>
        <v/>
      </c>
      <c r="H7" s="19" t="n">
        <v>172.49</v>
      </c>
      <c r="I7" s="21" t="inlineStr">
        <is>
          <t>172,49 € Dafy Moto</t>
        </is>
      </c>
      <c r="J7" s="19" t="n">
        <v>159</v>
      </c>
      <c r="K7" s="20">
        <f>IF($J7="","",$J7/$E7)</f>
        <v/>
      </c>
      <c r="L7" s="22">
        <f>IF(OR($H7="",$J7=""),"",$J7/$H7-1)</f>
        <v/>
      </c>
      <c r="M7" s="20">
        <f>IF($J7="","",$J7*(Paramètres!$B$5+Paramètres!$B$6))</f>
        <v/>
      </c>
      <c r="N7" s="20">
        <f>IF($J7="","",$J7*Paramètres!$B$7)</f>
        <v/>
      </c>
      <c r="O7" s="23">
        <f>IF($J7="","",$J7-$F7-$M7-$N7)</f>
        <v/>
      </c>
      <c r="P7" s="20">
        <f>IF($O7="","",$O7/$E7)</f>
        <v/>
      </c>
      <c r="Q7" s="22">
        <f>IF($O7="","",$O7/$F7)</f>
        <v/>
      </c>
      <c r="R7" s="17" t="inlineStr">
        <is>
          <t>Boutique + Vinted + Leboncoin</t>
        </is>
      </c>
      <c r="S7" s="17" t="inlineStr">
        <is>
          <t>Pièce seule</t>
        </is>
      </c>
      <c r="T7" s="17" t="inlineStr">
        <is>
          <t>À recevoir</t>
        </is>
      </c>
      <c r="U7" s="17" t="inlineStr">
        <is>
          <t>Normal</t>
        </is>
      </c>
    </row>
    <row r="8">
      <c r="A8" s="17" t="inlineStr">
        <is>
          <t>Robe Elisabetta Franchi ivoire, viscose</t>
        </is>
      </c>
      <c r="B8" s="17" t="inlineStr">
        <is>
          <t>Unique</t>
        </is>
      </c>
      <c r="C8" s="17" t="inlineStr">
        <is>
          <t>46 IT / 42 FR</t>
        </is>
      </c>
      <c r="D8" s="17" t="inlineStr">
        <is>
          <t>Neuve avec étiquette</t>
        </is>
      </c>
      <c r="E8" s="18" t="n">
        <v>1</v>
      </c>
      <c r="F8" s="19" t="n">
        <v>26</v>
      </c>
      <c r="G8" s="20">
        <f>$F8/$E8</f>
        <v/>
      </c>
      <c r="H8" s="24" t="n"/>
      <c r="I8" s="21" t="inlineStr">
        <is>
          <t>Outlet officiel −80 %</t>
        </is>
      </c>
      <c r="J8" s="19" t="n">
        <v>99</v>
      </c>
      <c r="K8" s="20">
        <f>IF($J8="","",$J8/$E8)</f>
        <v/>
      </c>
      <c r="L8" s="22">
        <f>IF(OR($H8="",$J8=""),"",$J8/$H8-1)</f>
        <v/>
      </c>
      <c r="M8" s="20">
        <f>IF($J8="","",$J8*(Paramètres!$B$5+Paramètres!$B$6))</f>
        <v/>
      </c>
      <c r="N8" s="20">
        <f>IF($J8="","",$J8*Paramètres!$B$7)</f>
        <v/>
      </c>
      <c r="O8" s="23">
        <f>IF($J8="","",$J8-$F8-$M8-$N8)</f>
        <v/>
      </c>
      <c r="P8" s="20">
        <f>IF($O8="","",$O8/$E8)</f>
        <v/>
      </c>
      <c r="Q8" s="22">
        <f>IF($O8="","",$O8/$F8)</f>
        <v/>
      </c>
      <c r="R8" s="17" t="inlineStr">
        <is>
          <t>Boutique</t>
        </is>
      </c>
      <c r="S8" s="17" t="inlineStr">
        <is>
          <t>Pièce seule</t>
        </is>
      </c>
      <c r="T8" s="17" t="inlineStr">
        <is>
          <t>Reçue</t>
        </is>
      </c>
      <c r="U8" s="17" t="inlineStr">
        <is>
          <t>Normal</t>
        </is>
      </c>
    </row>
    <row r="9">
      <c r="A9" s="17" t="inlineStr">
        <is>
          <t>Ballerines Hogan 186 Zeppa Fashion</t>
        </is>
      </c>
      <c r="B9" s="17" t="inlineStr">
        <is>
          <t>Unique</t>
        </is>
      </c>
      <c r="C9" s="17" t="inlineStr">
        <is>
          <t>36</t>
        </is>
      </c>
      <c r="D9" s="17" t="inlineStr">
        <is>
          <t>Neuves avec boîte</t>
        </is>
      </c>
      <c r="E9" s="18" t="n">
        <v>1</v>
      </c>
      <c r="F9" s="19" t="n">
        <v>15</v>
      </c>
      <c r="G9" s="20">
        <f>$F9/$E9</f>
        <v/>
      </c>
      <c r="H9" s="19" t="n">
        <v>83</v>
      </c>
      <c r="I9" s="21" t="inlineStr">
        <is>
          <t>83 € Lyst</t>
        </is>
      </c>
      <c r="J9" s="19" t="n">
        <v>79</v>
      </c>
      <c r="K9" s="20">
        <f>IF($J9="","",$J9/$E9)</f>
        <v/>
      </c>
      <c r="L9" s="22">
        <f>IF(OR($H9="",$J9=""),"",$J9/$H9-1)</f>
        <v/>
      </c>
      <c r="M9" s="20">
        <f>IF($J9="","",$J9*(Paramètres!$B$5+Paramètres!$B$6))</f>
        <v/>
      </c>
      <c r="N9" s="20">
        <f>IF($J9="","",$J9*Paramètres!$B$7)</f>
        <v/>
      </c>
      <c r="O9" s="23">
        <f>IF($J9="","",$J9-$F9-$M9-$N9)</f>
        <v/>
      </c>
      <c r="P9" s="20">
        <f>IF($O9="","",$O9/$E9)</f>
        <v/>
      </c>
      <c r="Q9" s="22">
        <f>IF($O9="","",$O9/$F9)</f>
        <v/>
      </c>
      <c r="R9" s="17" t="inlineStr">
        <is>
          <t>Boutique</t>
        </is>
      </c>
      <c r="S9" s="17" t="inlineStr">
        <is>
          <t>Pièce seule</t>
        </is>
      </c>
      <c r="T9" s="17" t="inlineStr">
        <is>
          <t>Reçues</t>
        </is>
      </c>
      <c r="U9" s="17" t="inlineStr">
        <is>
          <t>Normal</t>
        </is>
      </c>
    </row>
    <row r="10">
      <c r="A10" s="17" t="inlineStr">
        <is>
          <t>Jupe Sonia Rykiel midi twill cerises</t>
        </is>
      </c>
      <c r="B10" s="17" t="inlineStr">
        <is>
          <t>Unique</t>
        </is>
      </c>
      <c r="C10" s="17" t="inlineStr">
        <is>
          <t>34</t>
        </is>
      </c>
      <c r="D10" s="17" t="inlineStr">
        <is>
          <t>Neuve avec étiquette</t>
        </is>
      </c>
      <c r="E10" s="18" t="n">
        <v>1</v>
      </c>
      <c r="F10" s="19" t="n">
        <v>42.8</v>
      </c>
      <c r="G10" s="20">
        <f>$F10/$E10</f>
        <v/>
      </c>
      <c r="H10" s="24" t="n"/>
      <c r="I10" s="21" t="inlineStr">
        <is>
          <t>Jaiio −80 % · marque liquidée en 2019</t>
        </is>
      </c>
      <c r="J10" s="19" t="n">
        <v>99</v>
      </c>
      <c r="K10" s="20">
        <f>IF($J10="","",$J10/$E10)</f>
        <v/>
      </c>
      <c r="L10" s="22">
        <f>IF(OR($H10="",$J10=""),"",$J10/$H10-1)</f>
        <v/>
      </c>
      <c r="M10" s="20">
        <f>IF($J10="","",$J10*(Paramètres!$B$5+Paramètres!$B$6))</f>
        <v/>
      </c>
      <c r="N10" s="20">
        <f>IF($J10="","",$J10*Paramètres!$B$7)</f>
        <v/>
      </c>
      <c r="O10" s="23">
        <f>IF($J10="","",$J10-$F10-$M10-$N10)</f>
        <v/>
      </c>
      <c r="P10" s="20">
        <f>IF($O10="","",$O10/$E10)</f>
        <v/>
      </c>
      <c r="Q10" s="22">
        <f>IF($O10="","",$O10/$F10)</f>
        <v/>
      </c>
      <c r="R10" s="17" t="inlineStr">
        <is>
          <t>Boutique</t>
        </is>
      </c>
      <c r="S10" s="17" t="inlineStr">
        <is>
          <t>Pièce seule</t>
        </is>
      </c>
      <c r="T10" s="17" t="inlineStr">
        <is>
          <t>Reçue</t>
        </is>
      </c>
      <c r="U10" s="17" t="inlineStr">
        <is>
          <t>Normal</t>
        </is>
      </c>
    </row>
    <row r="11">
      <c r="A11" s="10" t="inlineStr">
        <is>
          <t>Morgan — 6 vêtements femme</t>
        </is>
      </c>
      <c r="B11" s="10" t="inlineStr">
        <is>
          <t>Lot</t>
        </is>
      </c>
      <c r="C11" s="10" t="inlineStr">
        <is>
          <t>40 et L</t>
        </is>
      </c>
      <c r="D11" s="10" t="inlineStr">
        <is>
          <t>Neufs avec étiquette</t>
        </is>
      </c>
      <c r="E11" s="11" t="n">
        <v>6</v>
      </c>
      <c r="F11" s="12" t="n">
        <v>40</v>
      </c>
      <c r="G11" s="13">
        <f>$F11/$E11</f>
        <v/>
      </c>
      <c r="H11" s="25" t="n"/>
      <c r="I11" s="14" t="inlineStr">
        <is>
          <t>Modz −50 % · Once Again −80 %</t>
        </is>
      </c>
      <c r="J11" s="12" t="n">
        <v>92</v>
      </c>
      <c r="K11" s="13">
        <f>IF($J11="","",$J11/$E11)</f>
        <v/>
      </c>
      <c r="L11" s="15">
        <f>IF(OR($H11="",$J11=""),"",$J11/$H11-1)</f>
        <v/>
      </c>
      <c r="M11" s="13">
        <f>IF($J11="","",$J11*(Paramètres!$B$5+Paramètres!$B$6))</f>
        <v/>
      </c>
      <c r="N11" s="13">
        <f>IF($J11="","",$J11*Paramètres!$B$7)</f>
        <v/>
      </c>
      <c r="O11" s="16">
        <f>IF($J11="","",$J11-$F11-$M11-$N11)</f>
        <v/>
      </c>
      <c r="P11" s="13">
        <f>IF($O11="","",$O11/$E11)</f>
        <v/>
      </c>
      <c r="Q11" s="15">
        <f>IF($O11="","",$O11/$F11)</f>
        <v/>
      </c>
      <c r="R11" s="10" t="inlineStr">
        <is>
          <t>Leboncoin + eBay</t>
        </is>
      </c>
      <c r="S11" s="10" t="inlineStr">
        <is>
          <t>À l'unité</t>
        </is>
      </c>
      <c r="T11" s="10" t="inlineStr">
        <is>
          <t>Reçus</t>
        </is>
      </c>
      <c r="U11" s="10" t="inlineStr">
        <is>
          <t>Normal</t>
        </is>
      </c>
    </row>
    <row r="12">
      <c r="A12" s="17" t="inlineStr">
        <is>
          <t>BMW Overall ProRain unisexe noir</t>
        </is>
      </c>
      <c r="B12" s="17" t="inlineStr">
        <is>
          <t>Unique</t>
        </is>
      </c>
      <c r="C12" s="17" t="inlineStr">
        <is>
          <t>XL</t>
        </is>
      </c>
      <c r="D12" s="17" t="inlineStr">
        <is>
          <t>Neuf</t>
        </is>
      </c>
      <c r="E12" s="18" t="n">
        <v>1</v>
      </c>
      <c r="F12" s="19" t="n">
        <v>82.61</v>
      </c>
      <c r="G12" s="20">
        <f>$F12/$E12</f>
        <v/>
      </c>
      <c r="H12" s="19" t="n">
        <v>170</v>
      </c>
      <c r="I12" s="21" t="inlineStr">
        <is>
          <t>170 € coloris noir</t>
        </is>
      </c>
      <c r="J12" s="19" t="n">
        <v>139</v>
      </c>
      <c r="K12" s="20">
        <f>IF($J12="","",$J12/$E12)</f>
        <v/>
      </c>
      <c r="L12" s="22">
        <f>IF(OR($H12="",$J12=""),"",$J12/$H12-1)</f>
        <v/>
      </c>
      <c r="M12" s="20">
        <f>IF($J12="","",$J12*(Paramètres!$B$5+Paramètres!$B$6))</f>
        <v/>
      </c>
      <c r="N12" s="20">
        <f>IF($J12="","",$J12*Paramètres!$B$7)</f>
        <v/>
      </c>
      <c r="O12" s="23">
        <f>IF($J12="","",$J12-$F12-$M12-$N12)</f>
        <v/>
      </c>
      <c r="P12" s="20">
        <f>IF($O12="","",$O12/$E12)</f>
        <v/>
      </c>
      <c r="Q12" s="22">
        <f>IF($O12="","",$O12/$F12)</f>
        <v/>
      </c>
      <c r="R12" s="17" t="inlineStr">
        <is>
          <t>Leboncoin + Vinted</t>
        </is>
      </c>
      <c r="S12" s="17" t="inlineStr">
        <is>
          <t>Pièce seule</t>
        </is>
      </c>
      <c r="T12" s="17" t="inlineStr">
        <is>
          <t>À recevoir</t>
        </is>
      </c>
      <c r="U12" s="17" t="inlineStr">
        <is>
          <t>Normal</t>
        </is>
      </c>
    </row>
    <row r="13">
      <c r="A13" s="17" t="inlineStr">
        <is>
          <t>Baskets adidas by Stella McCartney UltraBoost 21</t>
        </is>
      </c>
      <c r="B13" s="17" t="inlineStr">
        <is>
          <t>Unique</t>
        </is>
      </c>
      <c r="C13" s="17" t="inlineStr">
        <is>
          <t>36</t>
        </is>
      </c>
      <c r="D13" s="17" t="inlineStr">
        <is>
          <t>Neuves avec boîte</t>
        </is>
      </c>
      <c r="E13" s="18" t="n">
        <v>1</v>
      </c>
      <c r="F13" s="19" t="n">
        <v>35</v>
      </c>
      <c r="G13" s="20">
        <f>$F13/$E13</f>
        <v/>
      </c>
      <c r="H13" s="19" t="n">
        <v>94</v>
      </c>
      <c r="I13" s="21" t="inlineStr">
        <is>
          <t>94 € eBay.de</t>
        </is>
      </c>
      <c r="J13" s="19" t="n">
        <v>79</v>
      </c>
      <c r="K13" s="20">
        <f>IF($J13="","",$J13/$E13)</f>
        <v/>
      </c>
      <c r="L13" s="22">
        <f>IF(OR($H13="",$J13=""),"",$J13/$H13-1)</f>
        <v/>
      </c>
      <c r="M13" s="20">
        <f>IF($J13="","",$J13*(Paramètres!$B$5+Paramètres!$B$6))</f>
        <v/>
      </c>
      <c r="N13" s="20">
        <f>IF($J13="","",$J13*Paramètres!$B$7)</f>
        <v/>
      </c>
      <c r="O13" s="23">
        <f>IF($J13="","",$J13-$F13-$M13-$N13)</f>
        <v/>
      </c>
      <c r="P13" s="20">
        <f>IF($O13="","",$O13/$E13)</f>
        <v/>
      </c>
      <c r="Q13" s="22">
        <f>IF($O13="","",$O13/$F13)</f>
        <v/>
      </c>
      <c r="R13" s="17" t="inlineStr">
        <is>
          <t>Boutique</t>
        </is>
      </c>
      <c r="S13" s="17" t="inlineStr">
        <is>
          <t>Pièce seule</t>
        </is>
      </c>
      <c r="T13" s="17" t="inlineStr">
        <is>
          <t>Reçues</t>
        </is>
      </c>
      <c r="U13" s="17" t="inlineStr">
        <is>
          <t>Normal</t>
        </is>
      </c>
    </row>
    <row r="14">
      <c r="A14" s="17" t="inlineStr">
        <is>
          <t>Blazer Karl Lagerfeld punto noir</t>
        </is>
      </c>
      <c r="B14" s="17" t="inlineStr">
        <is>
          <t>Unique</t>
        </is>
      </c>
      <c r="C14" s="17" t="inlineStr">
        <is>
          <t>36 FR / IT 40</t>
        </is>
      </c>
      <c r="D14" s="17" t="inlineStr">
        <is>
          <t>Neuf avec étiquette</t>
        </is>
      </c>
      <c r="E14" s="18" t="n">
        <v>1</v>
      </c>
      <c r="F14" s="19" t="n">
        <v>45</v>
      </c>
      <c r="G14" s="20">
        <f>$F14/$E14</f>
        <v/>
      </c>
      <c r="H14" s="24" t="n"/>
      <c r="I14" s="21" t="inlineStr">
        <is>
          <t>Otrium outlet · Lyst dès 50 €</t>
        </is>
      </c>
      <c r="J14" s="19" t="n">
        <v>89</v>
      </c>
      <c r="K14" s="20">
        <f>IF($J14="","",$J14/$E14)</f>
        <v/>
      </c>
      <c r="L14" s="22">
        <f>IF(OR($H14="",$J14=""),"",$J14/$H14-1)</f>
        <v/>
      </c>
      <c r="M14" s="20">
        <f>IF($J14="","",$J14*(Paramètres!$B$5+Paramètres!$B$6))</f>
        <v/>
      </c>
      <c r="N14" s="20">
        <f>IF($J14="","",$J14*Paramètres!$B$7)</f>
        <v/>
      </c>
      <c r="O14" s="23">
        <f>IF($J14="","",$J14-$F14-$M14-$N14)</f>
        <v/>
      </c>
      <c r="P14" s="20">
        <f>IF($O14="","",$O14/$E14)</f>
        <v/>
      </c>
      <c r="Q14" s="22">
        <f>IF($O14="","",$O14/$F14)</f>
        <v/>
      </c>
      <c r="R14" s="17" t="inlineStr">
        <is>
          <t>Boutique</t>
        </is>
      </c>
      <c r="S14" s="17" t="inlineStr">
        <is>
          <t>Pièce seule</t>
        </is>
      </c>
      <c r="T14" s="17" t="inlineStr">
        <is>
          <t>Reçu</t>
        </is>
      </c>
      <c r="U14" s="17" t="inlineStr">
        <is>
          <t>Normal</t>
        </is>
      </c>
    </row>
    <row r="15">
      <c r="A15" s="17" t="inlineStr">
        <is>
          <t>Salomon X Ultra 5 Mid GTX</t>
        </is>
      </c>
      <c r="B15" s="17" t="inlineStr">
        <is>
          <t>Unique</t>
        </is>
      </c>
      <c r="C15" s="17" t="inlineStr">
        <is>
          <t>44</t>
        </is>
      </c>
      <c r="D15" s="17" t="inlineStr">
        <is>
          <t>Neuves</t>
        </is>
      </c>
      <c r="E15" s="18" t="n">
        <v>1</v>
      </c>
      <c r="F15" s="19" t="n">
        <v>65</v>
      </c>
      <c r="G15" s="20">
        <f>$F15/$E15</f>
        <v/>
      </c>
      <c r="H15" s="19" t="n">
        <v>116</v>
      </c>
      <c r="I15" s="21" t="inlineStr">
        <is>
          <t>116 €</t>
        </is>
      </c>
      <c r="J15" s="19" t="n">
        <v>109</v>
      </c>
      <c r="K15" s="20">
        <f>IF($J15="","",$J15/$E15)</f>
        <v/>
      </c>
      <c r="L15" s="22">
        <f>IF(OR($H15="",$J15=""),"",$J15/$H15-1)</f>
        <v/>
      </c>
      <c r="M15" s="20">
        <f>IF($J15="","",$J15*(Paramètres!$B$5+Paramètres!$B$6))</f>
        <v/>
      </c>
      <c r="N15" s="20">
        <f>IF($J15="","",$J15*Paramètres!$B$7)</f>
        <v/>
      </c>
      <c r="O15" s="23">
        <f>IF($J15="","",$J15-$F15-$M15-$N15)</f>
        <v/>
      </c>
      <c r="P15" s="20">
        <f>IF($O15="","",$O15/$E15)</f>
        <v/>
      </c>
      <c r="Q15" s="22">
        <f>IF($O15="","",$O15/$F15)</f>
        <v/>
      </c>
      <c r="R15" s="17" t="inlineStr">
        <is>
          <t>Leboncoin</t>
        </is>
      </c>
      <c r="S15" s="17" t="inlineStr">
        <is>
          <t>Pièce seule</t>
        </is>
      </c>
      <c r="T15" s="17" t="inlineStr">
        <is>
          <t>Reçues</t>
        </is>
      </c>
      <c r="U15" s="17" t="inlineStr">
        <is>
          <t>Normal</t>
        </is>
      </c>
    </row>
    <row r="16">
      <c r="A16" s="10" t="inlineStr">
        <is>
          <t>Mrs.Ertha — gilets de flottaison 3-6 ans</t>
        </is>
      </c>
      <c r="B16" s="10" t="inlineStr">
        <is>
          <t>Lot</t>
        </is>
      </c>
      <c r="C16" s="10" t="inlineStr">
        <is>
          <t>3-6 ans</t>
        </is>
      </c>
      <c r="D16" s="10" t="inlineStr">
        <is>
          <t>Neufs</t>
        </is>
      </c>
      <c r="E16" s="11" t="n">
        <v>4</v>
      </c>
      <c r="F16" s="12" t="n">
        <v>37.8</v>
      </c>
      <c r="G16" s="13">
        <f>$F16/$E16</f>
        <v/>
      </c>
      <c r="H16" s="12" t="n">
        <v>80</v>
      </c>
      <c r="I16" s="14" t="inlineStr">
        <is>
          <t>20 € Decathlon équivalent</t>
        </is>
      </c>
      <c r="J16" s="12" t="n">
        <v>76</v>
      </c>
      <c r="K16" s="13">
        <f>IF($J16="","",$J16/$E16)</f>
        <v/>
      </c>
      <c r="L16" s="15">
        <f>IF(OR($H16="",$J16=""),"",$J16/$H16-1)</f>
        <v/>
      </c>
      <c r="M16" s="13">
        <f>IF($J16="","",$J16*(Paramètres!$B$5+Paramètres!$B$6))</f>
        <v/>
      </c>
      <c r="N16" s="13">
        <f>IF($J16="","",$J16*Paramètres!$B$7)</f>
        <v/>
      </c>
      <c r="O16" s="16">
        <f>IF($J16="","",$J16-$F16-$M16-$N16)</f>
        <v/>
      </c>
      <c r="P16" s="13">
        <f>IF($O16="","",$O16/$E16)</f>
        <v/>
      </c>
      <c r="Q16" s="15">
        <f>IF($O16="","",$O16/$F16)</f>
        <v/>
      </c>
      <c r="R16" s="10" t="inlineStr">
        <is>
          <t>Leboncoin + Vinted</t>
        </is>
      </c>
      <c r="S16" s="10" t="inlineStr">
        <is>
          <t>À l'unité, 19 € le gilet</t>
        </is>
      </c>
      <c r="T16" s="10" t="inlineStr">
        <is>
          <t>Reçus</t>
        </is>
      </c>
      <c r="U16" s="10" t="inlineStr">
        <is>
          <t>URGENT — saisonnier</t>
        </is>
      </c>
    </row>
    <row r="17">
      <c r="A17" s="17" t="inlineStr">
        <is>
          <t>Robe Sandro Noaim blanche</t>
        </is>
      </c>
      <c r="B17" s="17" t="inlineStr">
        <is>
          <t>Unique</t>
        </is>
      </c>
      <c r="C17" s="17" t="inlineStr">
        <is>
          <t>40</t>
        </is>
      </c>
      <c r="D17" s="17" t="inlineStr">
        <is>
          <t>Neuve avec étiquette</t>
        </is>
      </c>
      <c r="E17" s="18" t="n">
        <v>1</v>
      </c>
      <c r="F17" s="19" t="n">
        <v>50.04</v>
      </c>
      <c r="G17" s="20">
        <f>$F17/$E17</f>
        <v/>
      </c>
      <c r="H17" s="24" t="n"/>
      <c r="I17" s="21" t="inlineStr">
        <is>
          <t>Once Again −90 % · Stylight −99 %</t>
        </is>
      </c>
      <c r="J17" s="19" t="n">
        <v>89</v>
      </c>
      <c r="K17" s="20">
        <f>IF($J17="","",$J17/$E17)</f>
        <v/>
      </c>
      <c r="L17" s="22">
        <f>IF(OR($H17="",$J17=""),"",$J17/$H17-1)</f>
        <v/>
      </c>
      <c r="M17" s="20">
        <f>IF($J17="","",$J17*(Paramètres!$B$5+Paramètres!$B$6))</f>
        <v/>
      </c>
      <c r="N17" s="20">
        <f>IF($J17="","",$J17*Paramètres!$B$7)</f>
        <v/>
      </c>
      <c r="O17" s="23">
        <f>IF($J17="","",$J17-$F17-$M17-$N17)</f>
        <v/>
      </c>
      <c r="P17" s="20">
        <f>IF($O17="","",$O17/$E17)</f>
        <v/>
      </c>
      <c r="Q17" s="22">
        <f>IF($O17="","",$O17/$F17)</f>
        <v/>
      </c>
      <c r="R17" s="17" t="inlineStr">
        <is>
          <t>Boutique</t>
        </is>
      </c>
      <c r="S17" s="17" t="inlineStr">
        <is>
          <t>Pièce seule</t>
        </is>
      </c>
      <c r="T17" s="17" t="inlineStr">
        <is>
          <t>Reçue</t>
        </is>
      </c>
      <c r="U17" s="17" t="inlineStr">
        <is>
          <t>Normal</t>
        </is>
      </c>
    </row>
    <row r="18">
      <c r="A18" s="17" t="inlineStr">
        <is>
          <t>Ballerines Massimo Dutti cuir rouge</t>
        </is>
      </c>
      <c r="B18" s="17" t="inlineStr">
        <is>
          <t>Unique</t>
        </is>
      </c>
      <c r="C18" s="17" t="inlineStr">
        <is>
          <t>40 IT</t>
        </is>
      </c>
      <c r="D18" s="17" t="inlineStr">
        <is>
          <t>Neuves avec boîte</t>
        </is>
      </c>
      <c r="E18" s="18" t="n">
        <v>1</v>
      </c>
      <c r="F18" s="19" t="n">
        <v>25</v>
      </c>
      <c r="G18" s="20">
        <f>$F18/$E18</f>
        <v/>
      </c>
      <c r="H18" s="19" t="n">
        <v>70</v>
      </c>
      <c r="I18" s="21" t="inlineStr">
        <is>
          <t>70 €</t>
        </is>
      </c>
      <c r="J18" s="19" t="n">
        <v>59</v>
      </c>
      <c r="K18" s="20">
        <f>IF($J18="","",$J18/$E18)</f>
        <v/>
      </c>
      <c r="L18" s="22">
        <f>IF(OR($H18="",$J18=""),"",$J18/$H18-1)</f>
        <v/>
      </c>
      <c r="M18" s="20">
        <f>IF($J18="","",$J18*(Paramètres!$B$5+Paramètres!$B$6))</f>
        <v/>
      </c>
      <c r="N18" s="20">
        <f>IF($J18="","",$J18*Paramètres!$B$7)</f>
        <v/>
      </c>
      <c r="O18" s="23">
        <f>IF($J18="","",$J18-$F18-$M18-$N18)</f>
        <v/>
      </c>
      <c r="P18" s="20">
        <f>IF($O18="","",$O18/$E18)</f>
        <v/>
      </c>
      <c r="Q18" s="22">
        <f>IF($O18="","",$O18/$F18)</f>
        <v/>
      </c>
      <c r="R18" s="17" t="inlineStr">
        <is>
          <t>Leboncoin + eBay</t>
        </is>
      </c>
      <c r="S18" s="17" t="inlineStr">
        <is>
          <t>Pièce seule</t>
        </is>
      </c>
      <c r="T18" s="17" t="inlineStr">
        <is>
          <t>Reçues</t>
        </is>
      </c>
      <c r="U18" s="17" t="inlineStr">
        <is>
          <t>Normal</t>
        </is>
      </c>
    </row>
    <row r="19">
      <c r="A19" s="17" t="inlineStr">
        <is>
          <t>Robe bustier Chiara Ferragni noire</t>
        </is>
      </c>
      <c r="B19" s="17" t="inlineStr">
        <is>
          <t>Unique</t>
        </is>
      </c>
      <c r="C19" s="17" t="inlineStr">
        <is>
          <t>M</t>
        </is>
      </c>
      <c r="D19" s="17" t="inlineStr">
        <is>
          <t>Neuve avec étiquette</t>
        </is>
      </c>
      <c r="E19" s="18" t="n">
        <v>1</v>
      </c>
      <c r="F19" s="19" t="n">
        <v>38</v>
      </c>
      <c r="G19" s="20">
        <f>$F19/$E19</f>
        <v/>
      </c>
      <c r="H19" s="24" t="n"/>
      <c r="I19" s="21" t="inlineStr">
        <is>
          <t>YOOX −85 % · marque en crise</t>
        </is>
      </c>
      <c r="J19" s="19" t="n">
        <v>69</v>
      </c>
      <c r="K19" s="20">
        <f>IF($J19="","",$J19/$E19)</f>
        <v/>
      </c>
      <c r="L19" s="22">
        <f>IF(OR($H19="",$J19=""),"",$J19/$H19-1)</f>
        <v/>
      </c>
      <c r="M19" s="20">
        <f>IF($J19="","",$J19*(Paramètres!$B$5+Paramètres!$B$6))</f>
        <v/>
      </c>
      <c r="N19" s="20">
        <f>IF($J19="","",$J19*Paramètres!$B$7)</f>
        <v/>
      </c>
      <c r="O19" s="23">
        <f>IF($J19="","",$J19-$F19-$M19-$N19)</f>
        <v/>
      </c>
      <c r="P19" s="20">
        <f>IF($O19="","",$O19/$E19)</f>
        <v/>
      </c>
      <c r="Q19" s="22">
        <f>IF($O19="","",$O19/$F19)</f>
        <v/>
      </c>
      <c r="R19" s="17" t="inlineStr">
        <is>
          <t>Boutique + Leboncoin</t>
        </is>
      </c>
      <c r="S19" s="17" t="inlineStr">
        <is>
          <t>Pièce seule</t>
        </is>
      </c>
      <c r="T19" s="17" t="inlineStr">
        <is>
          <t>Reçue</t>
        </is>
      </c>
      <c r="U19" s="17" t="inlineStr">
        <is>
          <t>Normal</t>
        </is>
      </c>
    </row>
    <row r="20">
      <c r="A20" s="17" t="inlineStr">
        <is>
          <t>Robe Pier Antonio Gaspari bleu marine</t>
        </is>
      </c>
      <c r="B20" s="17" t="inlineStr">
        <is>
          <t>Unique</t>
        </is>
      </c>
      <c r="C20" s="17" t="inlineStr">
        <is>
          <t>42</t>
        </is>
      </c>
      <c r="D20" s="17" t="inlineStr">
        <is>
          <t>Neuve</t>
        </is>
      </c>
      <c r="E20" s="18" t="n">
        <v>1</v>
      </c>
      <c r="F20" s="19" t="n">
        <v>30</v>
      </c>
      <c r="G20" s="20">
        <f>$F20/$E20</f>
        <v/>
      </c>
      <c r="H20" s="24" t="n"/>
      <c r="I20" s="21" t="inlineStr">
        <is>
          <t>YOOX −69 % · Joli Closet −70 %</t>
        </is>
      </c>
      <c r="J20" s="19" t="n">
        <v>59</v>
      </c>
      <c r="K20" s="20">
        <f>IF($J20="","",$J20/$E20)</f>
        <v/>
      </c>
      <c r="L20" s="22">
        <f>IF(OR($H20="",$J20=""),"",$J20/$H20-1)</f>
        <v/>
      </c>
      <c r="M20" s="20">
        <f>IF($J20="","",$J20*(Paramètres!$B$5+Paramètres!$B$6))</f>
        <v/>
      </c>
      <c r="N20" s="20">
        <f>IF($J20="","",$J20*Paramètres!$B$7)</f>
        <v/>
      </c>
      <c r="O20" s="23">
        <f>IF($J20="","",$J20-$F20-$M20-$N20)</f>
        <v/>
      </c>
      <c r="P20" s="20">
        <f>IF($O20="","",$O20/$E20)</f>
        <v/>
      </c>
      <c r="Q20" s="22">
        <f>IF($O20="","",$O20/$F20)</f>
        <v/>
      </c>
      <c r="R20" s="17" t="inlineStr">
        <is>
          <t>Boutique + Leboncoin</t>
        </is>
      </c>
      <c r="S20" s="17" t="inlineStr">
        <is>
          <t>Pièce seule</t>
        </is>
      </c>
      <c r="T20" s="17" t="inlineStr">
        <is>
          <t>Reçue</t>
        </is>
      </c>
      <c r="U20" s="17" t="inlineStr">
        <is>
          <t>Normal</t>
        </is>
      </c>
    </row>
    <row r="21">
      <c r="A21" s="17" t="inlineStr">
        <is>
          <t>Baskets Geox gris / argent</t>
        </is>
      </c>
      <c r="B21" s="17" t="inlineStr">
        <is>
          <t>Unique</t>
        </is>
      </c>
      <c r="C21" s="17" t="inlineStr">
        <is>
          <t>35</t>
        </is>
      </c>
      <c r="D21" s="17" t="inlineStr">
        <is>
          <t>Neuves avec boîte</t>
        </is>
      </c>
      <c r="E21" s="18" t="n">
        <v>1</v>
      </c>
      <c r="F21" s="19" t="n">
        <v>25</v>
      </c>
      <c r="G21" s="20">
        <f>$F21/$E21</f>
        <v/>
      </c>
      <c r="H21" s="19" t="n">
        <v>55</v>
      </c>
      <c r="I21" s="21" t="inlineStr">
        <is>
          <t>55 €</t>
        </is>
      </c>
      <c r="J21" s="19" t="n">
        <v>49</v>
      </c>
      <c r="K21" s="20">
        <f>IF($J21="","",$J21/$E21)</f>
        <v/>
      </c>
      <c r="L21" s="22">
        <f>IF(OR($H21="",$J21=""),"",$J21/$H21-1)</f>
        <v/>
      </c>
      <c r="M21" s="20">
        <f>IF($J21="","",$J21*(Paramètres!$B$5+Paramètres!$B$6))</f>
        <v/>
      </c>
      <c r="N21" s="20">
        <f>IF($J21="","",$J21*Paramètres!$B$7)</f>
        <v/>
      </c>
      <c r="O21" s="23">
        <f>IF($J21="","",$J21-$F21-$M21-$N21)</f>
        <v/>
      </c>
      <c r="P21" s="20">
        <f>IF($O21="","",$O21/$E21)</f>
        <v/>
      </c>
      <c r="Q21" s="22">
        <f>IF($O21="","",$O21/$F21)</f>
        <v/>
      </c>
      <c r="R21" s="17" t="inlineStr">
        <is>
          <t>Leboncoin + eBay</t>
        </is>
      </c>
      <c r="S21" s="17" t="inlineStr">
        <is>
          <t>Pièce seule</t>
        </is>
      </c>
      <c r="T21" s="17" t="inlineStr">
        <is>
          <t>Reçues</t>
        </is>
      </c>
      <c r="U21" s="17" t="inlineStr">
        <is>
          <t>Normal</t>
        </is>
      </c>
    </row>
    <row r="22">
      <c r="A22" s="10" t="inlineStr">
        <is>
          <t>Havaianas Slim fuchsia 35/36 ×10</t>
        </is>
      </c>
      <c r="B22" s="10" t="inlineStr">
        <is>
          <t>Lot</t>
        </is>
      </c>
      <c r="C22" s="10" t="inlineStr">
        <is>
          <t>35/36</t>
        </is>
      </c>
      <c r="D22" s="10" t="inlineStr">
        <is>
          <t>Neuves avec boîte</t>
        </is>
      </c>
      <c r="E22" s="11" t="n">
        <v>10</v>
      </c>
      <c r="F22" s="12" t="n">
        <v>105</v>
      </c>
      <c r="G22" s="13">
        <f>$F22/$E22</f>
        <v/>
      </c>
      <c r="H22" s="12" t="n">
        <v>200</v>
      </c>
      <c r="I22" s="14" t="inlineStr">
        <is>
          <t>20 € la paire</t>
        </is>
      </c>
      <c r="J22" s="12" t="n">
        <v>139</v>
      </c>
      <c r="K22" s="13">
        <f>IF($J22="","",$J22/$E22)</f>
        <v/>
      </c>
      <c r="L22" s="15">
        <f>IF(OR($H22="",$J22=""),"",$J22/$H22-1)</f>
        <v/>
      </c>
      <c r="M22" s="13">
        <f>IF($J22="","",$J22*(Paramètres!$B$5+Paramètres!$B$6))</f>
        <v/>
      </c>
      <c r="N22" s="13">
        <f>IF($J22="","",$J22*Paramètres!$B$7)</f>
        <v/>
      </c>
      <c r="O22" s="16">
        <f>IF($J22="","",$J22-$F22-$M22-$N22)</f>
        <v/>
      </c>
      <c r="P22" s="13">
        <f>IF($O22="","",$O22/$E22)</f>
        <v/>
      </c>
      <c r="Q22" s="15">
        <f>IF($O22="","",$O22/$F22)</f>
        <v/>
      </c>
      <c r="R22" s="10" t="inlineStr">
        <is>
          <t>Leboncoin</t>
        </is>
      </c>
      <c r="S22" s="10" t="inlineStr">
        <is>
          <t>En lot</t>
        </is>
      </c>
      <c r="T22" s="10" t="inlineStr">
        <is>
          <t>Reçues</t>
        </is>
      </c>
      <c r="U22" s="10" t="inlineStr">
        <is>
          <t>URGENT — saisonnier</t>
        </is>
      </c>
    </row>
    <row r="23">
      <c r="A23" s="17" t="inlineStr">
        <is>
          <t>Plein Sport montante blanc / violet</t>
        </is>
      </c>
      <c r="B23" s="17" t="inlineStr">
        <is>
          <t>Unique</t>
        </is>
      </c>
      <c r="C23" s="17" t="inlineStr">
        <is>
          <t>40</t>
        </is>
      </c>
      <c r="D23" s="17" t="inlineStr">
        <is>
          <t>Neuves avec boîte</t>
        </is>
      </c>
      <c r="E23" s="18" t="n">
        <v>1</v>
      </c>
      <c r="F23" s="19" t="n">
        <v>62</v>
      </c>
      <c r="G23" s="20">
        <f>$F23/$E23</f>
        <v/>
      </c>
      <c r="H23" s="19" t="n">
        <v>100</v>
      </c>
      <c r="I23" s="21" t="inlineStr">
        <is>
          <t>~100 € Stylight −63 %</t>
        </is>
      </c>
      <c r="J23" s="19" t="n">
        <v>89</v>
      </c>
      <c r="K23" s="20">
        <f>IF($J23="","",$J23/$E23)</f>
        <v/>
      </c>
      <c r="L23" s="22">
        <f>IF(OR($H23="",$J23=""),"",$J23/$H23-1)</f>
        <v/>
      </c>
      <c r="M23" s="20">
        <f>IF($J23="","",$J23*(Paramètres!$B$5+Paramètres!$B$6))</f>
        <v/>
      </c>
      <c r="N23" s="20">
        <f>IF($J23="","",$J23*Paramètres!$B$7)</f>
        <v/>
      </c>
      <c r="O23" s="23">
        <f>IF($J23="","",$J23-$F23-$M23-$N23)</f>
        <v/>
      </c>
      <c r="P23" s="20">
        <f>IF($O23="","",$O23/$E23)</f>
        <v/>
      </c>
      <c r="Q23" s="22">
        <f>IF($O23="","",$O23/$F23)</f>
        <v/>
      </c>
      <c r="R23" s="17" t="inlineStr">
        <is>
          <t>Leboncoin + eBay</t>
        </is>
      </c>
      <c r="S23" s="17" t="inlineStr">
        <is>
          <t>Pièce seule · 99 € puis 89 €</t>
        </is>
      </c>
      <c r="T23" s="17" t="inlineStr">
        <is>
          <t>Reçues</t>
        </is>
      </c>
      <c r="U23" s="17" t="inlineStr">
        <is>
          <t>Normal</t>
        </is>
      </c>
    </row>
    <row r="24">
      <c r="A24" s="17" t="inlineStr">
        <is>
          <t>Short ba&amp;sh Fegor lightusedblue</t>
        </is>
      </c>
      <c r="B24" s="17" t="inlineStr">
        <is>
          <t>Unique</t>
        </is>
      </c>
      <c r="C24" s="17" t="inlineStr">
        <is>
          <t>34</t>
        </is>
      </c>
      <c r="D24" s="17" t="inlineStr">
        <is>
          <t>Neuf avec étiquette</t>
        </is>
      </c>
      <c r="E24" s="18" t="n">
        <v>1</v>
      </c>
      <c r="F24" s="19" t="n">
        <v>55.4</v>
      </c>
      <c r="G24" s="20">
        <f>$F24/$E24</f>
        <v/>
      </c>
      <c r="H24" s="19" t="n">
        <v>75</v>
      </c>
      <c r="I24" s="21" t="inlineStr">
        <is>
          <t>~75 € Modz −50 %</t>
        </is>
      </c>
      <c r="J24" s="19" t="n">
        <v>75</v>
      </c>
      <c r="K24" s="20">
        <f>IF($J24="","",$J24/$E24)</f>
        <v/>
      </c>
      <c r="L24" s="22">
        <f>IF(OR($H24="",$J24=""),"",$J24/$H24-1)</f>
        <v/>
      </c>
      <c r="M24" s="20">
        <f>IF($J24="","",$J24*(Paramètres!$B$5+Paramètres!$B$6))</f>
        <v/>
      </c>
      <c r="N24" s="20">
        <f>IF($J24="","",$J24*Paramètres!$B$7)</f>
        <v/>
      </c>
      <c r="O24" s="23">
        <f>IF($J24="","",$J24-$F24-$M24-$N24)</f>
        <v/>
      </c>
      <c r="P24" s="20">
        <f>IF($O24="","",$O24/$E24)</f>
        <v/>
      </c>
      <c r="Q24" s="22">
        <f>IF($O24="","",$O24/$F24)</f>
        <v/>
      </c>
      <c r="R24" s="17" t="inlineStr">
        <is>
          <t>Boutique</t>
        </is>
      </c>
      <c r="S24" s="17" t="inlineStr">
        <is>
          <t>Pièce seule</t>
        </is>
      </c>
      <c r="T24" s="17" t="inlineStr">
        <is>
          <t>Reçu</t>
        </is>
      </c>
      <c r="U24" s="17" t="inlineStr">
        <is>
          <t>URGENT — saisonnier</t>
        </is>
      </c>
    </row>
    <row r="25">
      <c r="A25" s="17" t="inlineStr">
        <is>
          <t>New Balance GS 1906 Alkaline Green</t>
        </is>
      </c>
      <c r="B25" s="17" t="inlineStr">
        <is>
          <t>Unique</t>
        </is>
      </c>
      <c r="C25" s="17" t="inlineStr">
        <is>
          <t>38½</t>
        </is>
      </c>
      <c r="D25" s="17" t="inlineStr">
        <is>
          <t>Neuves avec boîte</t>
        </is>
      </c>
      <c r="E25" s="18" t="n">
        <v>1</v>
      </c>
      <c r="F25" s="19" t="n">
        <v>80.59999999999999</v>
      </c>
      <c r="G25" s="20">
        <f>$F25/$E25</f>
        <v/>
      </c>
      <c r="H25" s="19" t="n">
        <v>87</v>
      </c>
      <c r="I25" s="21" t="inlineStr">
        <is>
          <t>87 € StockX</t>
        </is>
      </c>
      <c r="J25" s="19" t="n">
        <v>99</v>
      </c>
      <c r="K25" s="20">
        <f>IF($J25="","",$J25/$E25)</f>
        <v/>
      </c>
      <c r="L25" s="22">
        <f>IF(OR($H25="",$J25=""),"",$J25/$H25-1)</f>
        <v/>
      </c>
      <c r="M25" s="20">
        <f>IF($J25="","",$J25*(Paramètres!$B$5+Paramètres!$B$6))</f>
        <v/>
      </c>
      <c r="N25" s="20">
        <f>IF($J25="","",$J25*Paramètres!$B$7)</f>
        <v/>
      </c>
      <c r="O25" s="23">
        <f>IF($J25="","",$J25-$F25-$M25-$N25)</f>
        <v/>
      </c>
      <c r="P25" s="20">
        <f>IF($O25="","",$O25/$E25)</f>
        <v/>
      </c>
      <c r="Q25" s="22">
        <f>IF($O25="","",$O25/$F25)</f>
        <v/>
      </c>
      <c r="R25" s="17" t="inlineStr">
        <is>
          <t>Leboncoin</t>
        </is>
      </c>
      <c r="S25" s="17" t="inlineStr">
        <is>
          <t>Pièce seule</t>
        </is>
      </c>
      <c r="T25" s="17" t="inlineStr">
        <is>
          <t>À recevoir</t>
        </is>
      </c>
      <c r="U25" s="17" t="inlineStr">
        <is>
          <t>Liquider</t>
        </is>
      </c>
    </row>
    <row r="26">
      <c r="A26" s="17" t="inlineStr">
        <is>
          <t>Baskets Emporio Armani bleu lavande</t>
        </is>
      </c>
      <c r="B26" s="17" t="inlineStr">
        <is>
          <t>Unique</t>
        </is>
      </c>
      <c r="C26" s="17" t="inlineStr">
        <is>
          <t>36</t>
        </is>
      </c>
      <c r="D26" s="17" t="inlineStr">
        <is>
          <t>Neuves avec boîte</t>
        </is>
      </c>
      <c r="E26" s="18" t="n">
        <v>1</v>
      </c>
      <c r="F26" s="19" t="n">
        <v>55</v>
      </c>
      <c r="G26" s="20">
        <f>$F26/$E26</f>
        <v/>
      </c>
      <c r="H26" s="19" t="n">
        <v>62</v>
      </c>
      <c r="I26" s="21" t="inlineStr">
        <is>
          <t>62 € eBay</t>
        </is>
      </c>
      <c r="J26" s="19" t="n">
        <v>69</v>
      </c>
      <c r="K26" s="20">
        <f>IF($J26="","",$J26/$E26)</f>
        <v/>
      </c>
      <c r="L26" s="22">
        <f>IF(OR($H26="",$J26=""),"",$J26/$H26-1)</f>
        <v/>
      </c>
      <c r="M26" s="20">
        <f>IF($J26="","",$J26*(Paramètres!$B$5+Paramètres!$B$6))</f>
        <v/>
      </c>
      <c r="N26" s="20">
        <f>IF($J26="","",$J26*Paramètres!$B$7)</f>
        <v/>
      </c>
      <c r="O26" s="23">
        <f>IF($J26="","",$J26-$F26-$M26-$N26)</f>
        <v/>
      </c>
      <c r="P26" s="20">
        <f>IF($O26="","",$O26/$E26)</f>
        <v/>
      </c>
      <c r="Q26" s="22">
        <f>IF($O26="","",$O26/$F26)</f>
        <v/>
      </c>
      <c r="R26" s="17" t="inlineStr">
        <is>
          <t>Leboncoin</t>
        </is>
      </c>
      <c r="S26" s="17" t="inlineStr">
        <is>
          <t>Pièce seule</t>
        </is>
      </c>
      <c r="T26" s="17" t="inlineStr">
        <is>
          <t>Reçues</t>
        </is>
      </c>
      <c r="U26" s="17" t="inlineStr">
        <is>
          <t>Liquider</t>
        </is>
      </c>
    </row>
    <row r="27">
      <c r="A27" s="17" t="inlineStr">
        <is>
          <t>New Balance BB80 blanc / marine</t>
        </is>
      </c>
      <c r="B27" s="17" t="inlineStr">
        <is>
          <t>Unique</t>
        </is>
      </c>
      <c r="C27" s="17" t="inlineStr">
        <is>
          <t>38</t>
        </is>
      </c>
      <c r="D27" s="17" t="inlineStr">
        <is>
          <t>Neuves avec boîte</t>
        </is>
      </c>
      <c r="E27" s="18" t="n">
        <v>1</v>
      </c>
      <c r="F27" s="19" t="n">
        <v>45</v>
      </c>
      <c r="G27" s="20">
        <f>$F27/$E27</f>
        <v/>
      </c>
      <c r="H27" s="19" t="n">
        <v>54.99</v>
      </c>
      <c r="I27" s="21" t="inlineStr">
        <is>
          <t>54,99 € idealo</t>
        </is>
      </c>
      <c r="J27" s="19" t="n">
        <v>54</v>
      </c>
      <c r="K27" s="20">
        <f>IF($J27="","",$J27/$E27)</f>
        <v/>
      </c>
      <c r="L27" s="22">
        <f>IF(OR($H27="",$J27=""),"",$J27/$H27-1)</f>
        <v/>
      </c>
      <c r="M27" s="20">
        <f>IF($J27="","",$J27*(Paramètres!$B$5+Paramètres!$B$6))</f>
        <v/>
      </c>
      <c r="N27" s="20">
        <f>IF($J27="","",$J27*Paramètres!$B$7)</f>
        <v/>
      </c>
      <c r="O27" s="23">
        <f>IF($J27="","",$J27-$F27-$M27-$N27)</f>
        <v/>
      </c>
      <c r="P27" s="20">
        <f>IF($O27="","",$O27/$E27)</f>
        <v/>
      </c>
      <c r="Q27" s="22">
        <f>IF($O27="","",$O27/$F27)</f>
        <v/>
      </c>
      <c r="R27" s="17" t="inlineStr">
        <is>
          <t>Leboncoin</t>
        </is>
      </c>
      <c r="S27" s="17" t="inlineStr">
        <is>
          <t>Pièce seule</t>
        </is>
      </c>
      <c r="T27" s="17" t="inlineStr">
        <is>
          <t>Reçues</t>
        </is>
      </c>
      <c r="U27" s="17" t="inlineStr">
        <is>
          <t>Liquider</t>
        </is>
      </c>
    </row>
    <row r="28">
      <c r="A28" s="17" t="inlineStr">
        <is>
          <t>Tommy Jeans baskets basses noir / blanc</t>
        </is>
      </c>
      <c r="B28" s="17" t="inlineStr">
        <is>
          <t>Unique</t>
        </is>
      </c>
      <c r="C28" s="17" t="inlineStr">
        <is>
          <t>40</t>
        </is>
      </c>
      <c r="D28" s="17" t="inlineStr">
        <is>
          <t>Neuves avec boîte</t>
        </is>
      </c>
      <c r="E28" s="18" t="n">
        <v>1</v>
      </c>
      <c r="F28" s="19" t="n">
        <v>55</v>
      </c>
      <c r="G28" s="20">
        <f>$F28/$E28</f>
        <v/>
      </c>
      <c r="H28" s="19" t="n">
        <v>60</v>
      </c>
      <c r="I28" s="21" t="inlineStr">
        <is>
          <t>60 € Stylight · 41 € officiel</t>
        </is>
      </c>
      <c r="J28" s="19" t="n">
        <v>65</v>
      </c>
      <c r="K28" s="20">
        <f>IF($J28="","",$J28/$E28)</f>
        <v/>
      </c>
      <c r="L28" s="22">
        <f>IF(OR($H28="",$J28=""),"",$J28/$H28-1)</f>
        <v/>
      </c>
      <c r="M28" s="20">
        <f>IF($J28="","",$J28*(Paramètres!$B$5+Paramètres!$B$6))</f>
        <v/>
      </c>
      <c r="N28" s="20">
        <f>IF($J28="","",$J28*Paramètres!$B$7)</f>
        <v/>
      </c>
      <c r="O28" s="23">
        <f>IF($J28="","",$J28-$F28-$M28-$N28)</f>
        <v/>
      </c>
      <c r="P28" s="20">
        <f>IF($O28="","",$O28/$E28)</f>
        <v/>
      </c>
      <c r="Q28" s="22">
        <f>IF($O28="","",$O28/$F28)</f>
        <v/>
      </c>
      <c r="R28" s="17" t="inlineStr">
        <is>
          <t>Leboncoin + eBay</t>
        </is>
      </c>
      <c r="S28" s="17" t="inlineStr">
        <is>
          <t>Pièce seule</t>
        </is>
      </c>
      <c r="T28" s="17" t="inlineStr">
        <is>
          <t>Reçues</t>
        </is>
      </c>
      <c r="U28" s="17" t="inlineStr">
        <is>
          <t>Liquider</t>
        </is>
      </c>
    </row>
    <row r="29">
      <c r="A29" s="17" t="inlineStr">
        <is>
          <t>New Balance 650 blanche montante</t>
        </is>
      </c>
      <c r="B29" s="17" t="inlineStr">
        <is>
          <t>Unique</t>
        </is>
      </c>
      <c r="C29" s="17" t="inlineStr">
        <is>
          <t>44</t>
        </is>
      </c>
      <c r="D29" s="17" t="inlineStr">
        <is>
          <t>Neuves avec boîte</t>
        </is>
      </c>
      <c r="E29" s="18" t="n">
        <v>1</v>
      </c>
      <c r="F29" s="19" t="n">
        <v>55</v>
      </c>
      <c r="G29" s="20">
        <f>$F29/$E29</f>
        <v/>
      </c>
      <c r="H29" s="19" t="n">
        <v>61</v>
      </c>
      <c r="I29" s="21" t="inlineStr">
        <is>
          <t>61 € idealo</t>
        </is>
      </c>
      <c r="J29" s="19" t="n">
        <v>65</v>
      </c>
      <c r="K29" s="20">
        <f>IF($J29="","",$J29/$E29)</f>
        <v/>
      </c>
      <c r="L29" s="22">
        <f>IF(OR($H29="",$J29=""),"",$J29/$H29-1)</f>
        <v/>
      </c>
      <c r="M29" s="20">
        <f>IF($J29="","",$J29*(Paramètres!$B$5+Paramètres!$B$6))</f>
        <v/>
      </c>
      <c r="N29" s="20">
        <f>IF($J29="","",$J29*Paramètres!$B$7)</f>
        <v/>
      </c>
      <c r="O29" s="23">
        <f>IF($J29="","",$J29-$F29-$M29-$N29)</f>
        <v/>
      </c>
      <c r="P29" s="20">
        <f>IF($O29="","",$O29/$E29)</f>
        <v/>
      </c>
      <c r="Q29" s="22">
        <f>IF($O29="","",$O29/$F29)</f>
        <v/>
      </c>
      <c r="R29" s="17" t="inlineStr">
        <is>
          <t>Leboncoin</t>
        </is>
      </c>
      <c r="S29" s="17" t="inlineStr">
        <is>
          <t>Pièce seule</t>
        </is>
      </c>
      <c r="T29" s="17" t="inlineStr">
        <is>
          <t>Reçues</t>
        </is>
      </c>
      <c r="U29" s="17" t="inlineStr">
        <is>
          <t>Liquider</t>
        </is>
      </c>
    </row>
    <row r="30">
      <c r="A30" s="17" t="inlineStr">
        <is>
          <t>Adidas Yeezy 700 V3 Mono Safflower</t>
        </is>
      </c>
      <c r="B30" s="17" t="inlineStr">
        <is>
          <t>Unique</t>
        </is>
      </c>
      <c r="C30" s="17" t="inlineStr">
        <is>
          <t>38</t>
        </is>
      </c>
      <c r="D30" s="17" t="inlineStr">
        <is>
          <t>Occasion, portée</t>
        </is>
      </c>
      <c r="E30" s="18" t="n">
        <v>1</v>
      </c>
      <c r="F30" s="19" t="n">
        <v>75.23999999999999</v>
      </c>
      <c r="G30" s="20">
        <f>$F30/$E30</f>
        <v/>
      </c>
      <c r="H30" s="24" t="n"/>
      <c r="I30" s="21" t="inlineStr">
        <is>
          <t>À établir après authentification</t>
        </is>
      </c>
      <c r="J30" s="24" t="n"/>
      <c r="K30" s="20">
        <f>IF($J30="","",$J30/$E30)</f>
        <v/>
      </c>
      <c r="L30" s="22">
        <f>IF(OR($H30="",$J30=""),"",$J30/$H30-1)</f>
        <v/>
      </c>
      <c r="M30" s="20">
        <f>IF($J30="","",$J30*(Paramètres!$B$5+Paramètres!$B$6))</f>
        <v/>
      </c>
      <c r="N30" s="20">
        <f>IF($J30="","",$J30*Paramètres!$B$7)</f>
        <v/>
      </c>
      <c r="O30" s="23">
        <f>IF($J30="","",$J30-$F30-$M30-$N30)</f>
        <v/>
      </c>
      <c r="P30" s="20">
        <f>IF($O30="","",$O30/$E30)</f>
        <v/>
      </c>
      <c r="Q30" s="22">
        <f>IF($O30="","",$O30/$F30)</f>
        <v/>
      </c>
      <c r="R30" s="17" t="inlineStr">
        <is>
          <t>Vinted</t>
        </is>
      </c>
      <c r="S30" s="17" t="inlineStr">
        <is>
          <t>Pièce seule</t>
        </is>
      </c>
      <c r="T30" s="17" t="inlineStr">
        <is>
          <t>Authentification requise</t>
        </is>
      </c>
      <c r="U30" s="17" t="inlineStr">
        <is>
          <t>Bloqué</t>
        </is>
      </c>
    </row>
    <row r="31">
      <c r="A31" s="26" t="inlineStr">
        <is>
          <t>TOTAL</t>
        </is>
      </c>
      <c r="B31" s="26" t="inlineStr">
        <is>
          <t>26 lignes</t>
        </is>
      </c>
      <c r="C31" s="27" t="n"/>
      <c r="D31" s="27" t="n"/>
      <c r="E31" s="28">
        <f>SUM(E5:E30)</f>
        <v/>
      </c>
      <c r="F31" s="29">
        <f>SUM(F5:F30)</f>
        <v/>
      </c>
      <c r="G31" s="27" t="n"/>
      <c r="H31" s="27" t="n"/>
      <c r="I31" s="27" t="n"/>
      <c r="J31" s="29">
        <f>SUM(J5:J30)</f>
        <v/>
      </c>
      <c r="K31" s="27" t="n"/>
      <c r="L31" s="27" t="n"/>
      <c r="M31" s="29">
        <f>SUM(M5:M30)</f>
        <v/>
      </c>
      <c r="N31" s="29">
        <f>SUM(N5:N30)</f>
        <v/>
      </c>
      <c r="O31" s="29">
        <f>SUM(O5:O30)</f>
        <v/>
      </c>
      <c r="P31" s="27" t="n"/>
      <c r="Q31" s="30">
        <f>O31/F31</f>
        <v/>
      </c>
      <c r="R31" s="27" t="n"/>
      <c r="S31" s="27" t="n"/>
      <c r="T31" s="27" t="n"/>
      <c r="U31" s="27" t="n"/>
    </row>
    <row r="32">
      <c r="A32" s="2" t="inlineStr">
        <is>
          <t>Le coût total inclut la Yeezy (75,24 €) ; son prix de vente et sa marge restent à établir.</t>
        </is>
      </c>
    </row>
  </sheetData>
  <autoFilter ref="A4:U30"/>
  <conditionalFormatting sqref="O5:O30">
    <cfRule type="cellIs" priority="1" operator="lessThan" dxfId="0">
      <formula>10</formula>
    </cfRule>
  </conditionalFormatting>
  <conditionalFormatting sqref="L5:L30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Tout est calculé depuis la feuille « Stock complet » et la feuille « Paramètres ».</t>
        </is>
      </c>
    </row>
    <row r="4">
      <c r="A4" s="31" t="inlineStr">
        <is>
          <t>VOLUME</t>
        </is>
      </c>
    </row>
    <row r="5">
      <c r="A5" s="4" t="inlineStr">
        <is>
          <t>Lignes de stock</t>
        </is>
      </c>
      <c r="B5" s="32">
        <f>COUNTA('Stock complet'!A5:A30)</f>
        <v/>
      </c>
    </row>
    <row r="6">
      <c r="A6" s="3" t="inlineStr">
        <is>
          <t>Articles physiques</t>
        </is>
      </c>
      <c r="B6" s="33">
        <f>'Stock complet'!E31</f>
        <v/>
      </c>
    </row>
    <row r="7">
      <c r="A7" s="4" t="inlineStr">
        <is>
          <t>Annonces à publier</t>
        </is>
      </c>
      <c r="B7" s="32">
        <f>Paramètres!B19</f>
        <v/>
      </c>
    </row>
    <row r="9">
      <c r="A9" s="31" t="inlineStr">
        <is>
          <t>ARGENT</t>
        </is>
      </c>
    </row>
    <row r="10">
      <c r="A10" s="3" t="inlineStr">
        <is>
          <t>Capital engagé</t>
        </is>
      </c>
      <c r="B10" s="23">
        <f>'Stock complet'!F31</f>
        <v/>
      </c>
    </row>
    <row r="11">
      <c r="A11" s="3" t="inlineStr">
        <is>
          <t>Chiffre d'affaires attendu</t>
        </is>
      </c>
      <c r="B11" s="23">
        <f>'Stock complet'!J31</f>
        <v/>
      </c>
    </row>
    <row r="12">
      <c r="A12" s="4" t="inlineStr">
        <is>
          <t>− URSSAF + CFP</t>
        </is>
      </c>
      <c r="B12" s="20">
        <f>-'Stock complet'!M31</f>
        <v/>
      </c>
    </row>
    <row r="13">
      <c r="A13" s="4" t="inlineStr">
        <is>
          <t>− Commission carte</t>
        </is>
      </c>
      <c r="B13" s="20">
        <f>-'Stock complet'!N31</f>
        <v/>
      </c>
    </row>
    <row r="14">
      <c r="A14" s="3">
        <f> Marge brute</f>
        <v/>
      </c>
      <c r="B14" s="29">
        <f>'Stock complet'!O31</f>
        <v/>
      </c>
    </row>
    <row r="16">
      <c r="A16" s="31" t="inlineStr">
        <is>
          <t>FRAIS DE VENTE</t>
        </is>
      </c>
    </row>
    <row r="17">
      <c r="A17" s="4" t="inlineStr">
        <is>
          <t>− Emballage</t>
        </is>
      </c>
      <c r="B17" s="20">
        <f>-Paramètres!B18*Paramètres!B19</f>
        <v/>
      </c>
    </row>
    <row r="18">
      <c r="A18" s="4" t="inlineStr">
        <is>
          <t>− Frais fixe par transaction</t>
        </is>
      </c>
      <c r="B18" s="20">
        <f>-Paramètres!B8*Paramètres!B19</f>
        <v/>
      </c>
    </row>
    <row r="19">
      <c r="A19" s="3">
        <f> Marge avant impôt</f>
        <v/>
      </c>
      <c r="B19" s="29">
        <f>B14+B17+B18</f>
        <v/>
      </c>
    </row>
    <row r="21">
      <c r="A21" s="31" t="inlineStr">
        <is>
          <t>IMPÔT SUR LE REVENU</t>
        </is>
      </c>
    </row>
    <row r="22">
      <c r="A22" s="2" t="inlineStr">
        <is>
          <t>Versement libératoire non retenu : abattement de 71 %, le reste au barème du foyer.</t>
        </is>
      </c>
    </row>
    <row r="23">
      <c r="A23" s="4" t="inlineStr">
        <is>
          <t>Base imposable</t>
        </is>
      </c>
      <c r="B23" s="20">
        <f>B11*(1-Paramètres!B14)</f>
        <v/>
      </c>
    </row>
    <row r="24">
      <c r="A24" s="4" t="inlineStr">
        <is>
          <t>− Impôt estimé</t>
        </is>
      </c>
      <c r="B24" s="20">
        <f>-B23*Paramètres!B15</f>
        <v/>
      </c>
      <c r="C24" s="2" t="inlineStr">
        <is>
          <t>Dépend du foyer, pas de l'activité</t>
        </is>
      </c>
    </row>
    <row r="25">
      <c r="A25" s="3">
        <f> CE QUI RESTE</f>
        <v/>
      </c>
      <c r="B25" s="34">
        <f>B19+B24</f>
        <v/>
      </c>
    </row>
    <row r="27">
      <c r="A27" s="31" t="inlineStr">
        <is>
          <t>RENDEMENT</t>
        </is>
      </c>
    </row>
    <row r="28">
      <c r="A28" s="4" t="inlineStr">
        <is>
          <t>Marge nette / capital engagé</t>
        </is>
      </c>
      <c r="B28" s="35">
        <f>B25/B10</f>
        <v/>
      </c>
    </row>
    <row r="29">
      <c r="A29" s="4" t="inlineStr">
        <is>
          <t>Marge nette par annonce</t>
        </is>
      </c>
      <c r="B29" s="20">
        <f>B25/Paramètres!B19</f>
        <v/>
      </c>
    </row>
    <row r="30">
      <c r="A30" s="4" t="inlineStr">
        <is>
          <t>Poids de l'URSSAF dans la marge nette</t>
        </is>
      </c>
      <c r="B30" s="35">
        <f>-B12/B25</f>
        <v/>
      </c>
    </row>
    <row r="32">
      <c r="A32" s="31" t="inlineStr">
        <is>
          <t>CHARGES FIXES — hors calcul ci-dessus</t>
        </is>
      </c>
    </row>
    <row r="33">
      <c r="A33" s="4" t="inlineStr">
        <is>
          <t>Abonnement Shopify par mois</t>
        </is>
      </c>
      <c r="B33" s="6" t="n">
        <v>36</v>
      </c>
      <c r="C33" s="2" t="inlineStr">
        <is>
          <t>À partir du 11/11/2026 — 1 €/mois jusque-là</t>
        </is>
      </c>
    </row>
    <row r="34">
      <c r="A34" s="4" t="inlineStr">
        <is>
          <t>Shopify sur douze mois</t>
        </is>
      </c>
      <c r="B34" s="36">
        <f>B33*12</f>
        <v/>
      </c>
    </row>
    <row r="35">
      <c r="A35" s="4" t="inlineStr">
        <is>
          <t>CFE</t>
        </is>
      </c>
      <c r="B35" s="6" t="n">
        <v>400</v>
      </c>
      <c r="C35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31" t="inlineStr">
        <is>
          <t>COULEURS</t>
        </is>
      </c>
    </row>
    <row r="3">
      <c r="A3" s="3" t="inlineStr">
        <is>
          <t>Bleu</t>
        </is>
      </c>
      <c r="B3" s="37" t="inlineStr">
        <is>
          <t>Valeur saisie à la main. C'est là qu'on écrit.</t>
        </is>
      </c>
    </row>
    <row r="4">
      <c r="A4" s="3" t="inlineStr">
        <is>
          <t>Jaune</t>
        </is>
      </c>
      <c r="B4" s="37" t="inlineStr">
        <is>
          <t>Hypothèse à ajuster : taux, tranche d'imposition, nombre de colis.</t>
        </is>
      </c>
    </row>
    <row r="5">
      <c r="A5" s="3" t="inlineStr">
        <is>
          <t>Noir</t>
        </is>
      </c>
      <c r="B5" s="37" t="inlineStr">
        <is>
          <t>Formule. Ne pas écraser.</t>
        </is>
      </c>
    </row>
    <row r="6">
      <c r="A6" s="3" t="inlineStr">
        <is>
          <t>Fond bleuté</t>
        </is>
      </c>
      <c r="B6" s="37" t="inlineStr">
        <is>
          <t>Ligne de lot multiple, par opposition à une pièce unique.</t>
        </is>
      </c>
    </row>
    <row r="7">
      <c r="A7" s="3" t="inlineStr">
        <is>
          <t>Fond rouge</t>
        </is>
      </c>
      <c r="B7" s="37" t="inlineStr">
        <is>
          <t>Alerte : marge sous 10 €, ou prix de vente AU-DESSUS du marché.</t>
        </is>
      </c>
    </row>
    <row r="9">
      <c r="A9" s="31" t="inlineStr">
        <is>
          <t>LES COLONNES QUI COMPTENT</t>
        </is>
      </c>
    </row>
    <row r="10">
      <c r="A10" s="3" t="inlineStr">
        <is>
          <t>Prix marché</t>
        </is>
      </c>
      <c r="B10" s="37" t="inlineStr">
        <is>
          <t>Le moins cher trouvé sur Internet pour le même article. C'est le mur.</t>
        </is>
      </c>
    </row>
    <row r="11">
      <c r="A11" s="3" t="inlineStr">
        <is>
          <t>Écart au marché</t>
        </is>
      </c>
      <c r="B11" s="37" t="inlineStr">
        <is>
          <t>Négatif = on est sous le marché, c'est ce qu'on veut. Positif = on perd la comparaison.</t>
        </is>
      </c>
    </row>
    <row r="12">
      <c r="A12" s="3" t="inlineStr">
        <is>
          <t>Marge / article</t>
        </is>
      </c>
      <c r="B12" s="37" t="inlineStr">
        <is>
          <t>Sur un lot, le vrai indicateur : une marge de 15 € répartie sur dix ventes ne vaut pas le travail.</t>
        </is>
      </c>
    </row>
    <row r="13">
      <c r="A13" s="3" t="inlineStr">
        <is>
          <t>Rendement</t>
        </is>
      </c>
      <c r="B13" s="37" t="inlineStr">
        <is>
          <t>Marge rapportée au capital immobilisé sur cette ligne.</t>
        </is>
      </c>
    </row>
    <row r="15">
      <c r="A15" s="31" t="inlineStr">
        <is>
          <t>UTILISATION</t>
        </is>
      </c>
    </row>
    <row r="16">
      <c r="A16" s="3" t="inlineStr">
        <is>
          <t>Ajouter une pièce</t>
        </is>
      </c>
      <c r="B16" s="37" t="inlineStr">
        <is>
          <t>Insérer une ligne AU-DESSUS du TOTAL, puis recopier les formules des colonnes G, K, L, M, N, O, P, Q.</t>
        </is>
      </c>
    </row>
    <row r="17">
      <c r="A17" s="3" t="inlineStr">
        <is>
          <t>Changer un prix</t>
        </is>
      </c>
      <c r="B17" s="37" t="inlineStr">
        <is>
          <t>Écrire dans « Prix de vente ». Écart, URSSAF, carte, marge et Synthèse suivent.</t>
        </is>
      </c>
    </row>
    <row r="18">
      <c r="A18" s="3" t="inlineStr">
        <is>
          <t>Changer un taux</t>
        </is>
      </c>
      <c r="B18" s="37" t="inlineStr">
        <is>
          <t>Feuille Paramètres. Tout le classeur se recalcule.</t>
        </is>
      </c>
    </row>
    <row r="19">
      <c r="A19" s="3" t="inlineStr">
        <is>
          <t>Filtrer</t>
        </is>
      </c>
      <c r="B19" s="37" t="inlineStr">
        <is>
          <t>Les en-têtes ont un filtre : trier par priorité, par canal, par marge.</t>
        </is>
      </c>
    </row>
    <row r="21">
      <c r="A21" s="31" t="inlineStr">
        <is>
          <t>RÈGLES DE PRIX</t>
        </is>
      </c>
    </row>
    <row r="22">
      <c r="A22" s="3" t="inlineStr">
        <is>
          <t>Sous le moins cher du net</t>
        </is>
      </c>
      <c r="B22" s="37" t="inlineStr">
        <is>
          <t>Se positionner 20 à 30 % en dessous. La colonne Écart doit être négative.</t>
        </is>
      </c>
    </row>
    <row r="23">
      <c r="A23" s="3" t="inlineStr">
        <is>
          <t>Aucun prix sans sa source</t>
        </is>
      </c>
      <c r="B23" s="37" t="inlineStr">
        <is>
          <t>Un prix sans référence vérifiée est une hypothèse, pas un prix.</t>
        </is>
      </c>
    </row>
    <row r="24">
      <c r="A24" s="3" t="inlineStr">
        <is>
          <t>Le port est payé par l'acheteur</t>
        </is>
      </c>
      <c r="B24" s="37" t="inlineStr">
        <is>
          <t>Sans exception. Si la comparaison devient défavorable, on baisse le prix affiché, jamais la marge.</t>
        </is>
      </c>
    </row>
    <row r="25">
      <c r="A25" s="3" t="inlineStr">
        <is>
          <t>Frais acheteur ADN</t>
        </is>
      </c>
      <c r="B25" s="37" t="inlineStr">
        <is>
          <t>26 % à ajouter à l'adjudication, plus le transport du lot, pour obtenir le coût réel.</t>
        </is>
      </c>
    </row>
    <row r="26">
      <c r="A26" s="3" t="inlineStr">
        <is>
          <t>Palette</t>
        </is>
      </c>
      <c r="B26" s="37" t="inlineStr">
        <is>
          <t>Toujours écrire à la maison de vente pour demander une expédition en colis : 90 € → 44 € sur le lot de sandales.</t>
        </is>
      </c>
    </row>
    <row r="28">
      <c r="A28" s="31" t="inlineStr">
        <is>
          <t>CE QUE LE CALCUL NE COUVRE PAS</t>
        </is>
      </c>
    </row>
    <row r="29">
      <c r="A29" s="3" t="inlineStr">
        <is>
          <t>Retours</t>
        </is>
      </c>
      <c r="B29" s="37" t="inlineStr">
        <is>
          <t>Droit de rétractation de 14 jours en vente à un particulier.</t>
        </is>
      </c>
    </row>
    <row r="30">
      <c r="A30" s="3" t="inlineStr">
        <is>
          <t>Garantie légale</t>
        </is>
      </c>
      <c r="B30" s="37" t="inlineStr">
        <is>
          <t>2 ans sur le neuf.</t>
        </is>
      </c>
    </row>
    <row r="31">
      <c r="A31" s="3" t="inlineStr">
        <is>
          <t>Temps</t>
        </is>
      </c>
      <c r="B31" s="37" t="inlineStr">
        <is>
          <t>Photos, rédaction, emballage, dépôt. Le vrai coût des petites marges.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2026-08-12T14:49:27Z</dcterms:created>
  <dcterms:modified xsi:type="dcterms:W3CDTF">2026-08-12T14:49:27Z</dcterms:modified>
</cp:coreProperties>
</file>