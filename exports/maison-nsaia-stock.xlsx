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0.000"/>
    <numFmt numFmtId="167" formatCode="#,##0 &quot;art.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7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8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10" fontId="5" fillId="2" borderId="1" pivotButton="0" quotePrefix="0" xfId="0"/>
    <xf numFmtId="166" fontId="4" fillId="0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79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30</v>
      </c>
      <c r="P18" s="11" t="n">
        <v>7.8</v>
      </c>
      <c r="Q18" s="12" t="inlineStr">
        <is>
          <t>ADN Le Mans</t>
        </is>
      </c>
      <c r="R18" s="12" t="inlineStr">
        <is>
          <t>28/07/2026</t>
        </is>
      </c>
      <c r="S18" s="12" t="inlineStr">
        <is>
          <t>FB2026-43716</t>
        </is>
      </c>
      <c r="T18" s="12" t="inlineStr">
        <is>
          <t>434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  <c r="Z18" s="8">
        <f>IF($G18="","",$G18/$Y18)</f>
        <v/>
      </c>
      <c r="AA18" s="4">
        <f>IF($Z18="","",IF($Z18&gt;=25,"atteint",TEXT(25-$Z18,"0.00")&amp;" € manquants"))</f>
        <v/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91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PHILIPP PLEIN SPORT baskets montantes P.40 — neuves</t>
        </is>
      </c>
      <c r="B20" s="5" t="n">
        <v>57.51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95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45</v>
      </c>
      <c r="P20" s="11" t="n">
        <v>11.7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FB2026-6023</t>
        </is>
      </c>
      <c r="T20" s="12" t="inlineStr">
        <is>
          <t>159</t>
        </is>
      </c>
      <c r="U20" s="4" t="inlineStr">
        <is>
          <t>Leboncoin + eBay</t>
        </is>
      </c>
      <c r="V20" s="4" t="inlineStr"/>
      <c r="W20" s="4" t="inlineStr">
        <is>
          <t>Plafonné par le marché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CHIARA FERRAGNI robe bustier courte T.M — neuve</t>
        </is>
      </c>
      <c r="B21" s="5" t="n">
        <v>31.95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69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25</v>
      </c>
      <c r="P21" s="11" t="n">
        <v>6.5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123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62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55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  <c r="Z23" s="26">
        <f>IF($G23="","",$G23/$Y23)</f>
        <v/>
      </c>
      <c r="AA23" s="22">
        <f>IF($Z23="","",IF($Z23&gt;=25,"atteint",TEXT(25-$Z23,"0.00")&amp;" € manquants"))</f>
        <v/>
      </c>
    </row>
    <row r="24">
      <c r="A24" s="4" t="inlineStr">
        <is>
          <t>Ballerines MASSIMO DUTTI P.41 — traces d'essayage</t>
        </is>
      </c>
      <c r="B24" s="5" t="n">
        <v>25.2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61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20</v>
      </c>
      <c r="P24" s="11" t="n">
        <v>5.2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FB2026-43716</t>
        </is>
      </c>
      <c r="T24" s="12" t="inlineStr">
        <is>
          <t>439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  <c r="Z24" s="8">
        <f>IF($G24="","",$G24/$Y24)</f>
        <v/>
      </c>
      <c r="AA24" s="4">
        <f>IF($Z24="","",IF($Z24&gt;=25,"atteint",TEXT(25-$Z24,"0.00")&amp;" € manquants"))</f>
        <v/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54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Plafonné par le marché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1 booster box Pokémon MEGA Nihil Zero (Munikis Zero) M3 — 30 boosters de 5 cartes — 2 lots de 15 à 49 €, blister à photographier avant ouverture</t>
        </is>
      </c>
      <c r="B26" s="5" t="n">
        <v>69.23999999999999</v>
      </c>
      <c r="C26" s="6">
        <f>$B26</f>
        <v/>
      </c>
      <c r="D26" s="7">
        <f>$C26/(1-Paramètres!$B$5-Paramètres!$B$6)</f>
        <v/>
      </c>
      <c r="E26" s="6">
        <f>CEILING($D26*Paramètres!$B$24,1)</f>
        <v/>
      </c>
      <c r="F26" s="8" t="n">
        <v>98</v>
      </c>
      <c r="G26" s="8">
        <f>IF($F26="","",$F26-$C26-$M26-$N26)</f>
        <v/>
      </c>
      <c r="H26" s="9">
        <f>IF($G26="","",$G26/$C26)</f>
        <v/>
      </c>
      <c r="I26" s="10" t="n">
        <v>2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31" t="n"/>
      <c r="P26" s="31" t="n"/>
      <c r="Q26" s="12" t="inlineStr">
        <is>
          <t>Meccha Japan</t>
        </is>
      </c>
      <c r="R26" s="12" t="inlineStr">
        <is>
          <t>03/08/2026</t>
        </is>
      </c>
      <c r="S26" s="12" t="inlineStr">
        <is>
          <t>#FA429713</t>
        </is>
      </c>
      <c r="T26" s="12" t="inlineStr">
        <is>
          <t>4521329432274</t>
        </is>
      </c>
      <c r="U26" s="4" t="inlineStr">
        <is>
          <t>Leboncoin, lots de 15</t>
        </is>
      </c>
      <c r="V26" s="4" t="inlineStr"/>
      <c r="W26" s="4" t="inlineStr">
        <is>
          <t>Normal</t>
        </is>
      </c>
      <c r="X26" s="4" t="inlineStr"/>
      <c r="Y26" s="4" t="n">
        <v>2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  <c r="Z27" s="8">
        <f>IF($G27="","",$G27/$Y27)</f>
        <v/>
      </c>
      <c r="AA27" s="4">
        <f>IF($Z27="","",IF($Z27&gt;=25,"atteint",TEXT(25-$Z27,"0.00")&amp;" € manquants"))</f>
        <v/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  <c r="Z28" s="8">
        <f>IF($G28="","",$G28/$Y28)</f>
        <v/>
      </c>
      <c r="AA28" s="4">
        <f>IF($Z28="","",IF($Z28&gt;=25,"atteint",TEXT(25-$Z28,"0.00")&amp;" € manquants"))</f>
        <v/>
      </c>
    </row>
    <row r="29">
      <c r="A29" s="13" t="inlineStr">
        <is>
          <t>SALOMON X Ultra 5 Mid GTX P.44 — neuves</t>
        </is>
      </c>
      <c r="B29" s="14" t="n">
        <v>76.68000000000001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100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60</v>
      </c>
      <c r="P29" s="20" t="n">
        <v>15.6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FB2026-44192</t>
        </is>
      </c>
      <c r="T29" s="21" t="inlineStr">
        <is>
          <t>11</t>
        </is>
      </c>
      <c r="U29" s="13" t="inlineStr">
        <is>
          <t>Vinted, Italie — non encaissé</t>
        </is>
      </c>
      <c r="V29" s="13" t="inlineStr"/>
      <c r="W29" s="13" t="inlineStr">
        <is>
          <t>VENDUE, en attente</t>
        </is>
      </c>
      <c r="X29" s="13" t="inlineStr">
        <is>
          <t>12/08/2026</t>
        </is>
      </c>
      <c r="Y29" s="13" t="n">
        <v>1</v>
      </c>
      <c r="Z29" s="17">
        <f>IF($G29="","",$G29/$Y29)</f>
        <v/>
      </c>
      <c r="AA29" s="13">
        <f>IF($Z29="","",IF($Z29&gt;=25,"atteint",TEXT(25-$Z29,"0.00")&amp;" € manquants"))</f>
        <v/>
      </c>
    </row>
    <row r="30">
      <c r="A30" s="13" t="inlineStr">
        <is>
          <t>T-shirt BALENCIAGA T.2 — neuf</t>
        </is>
      </c>
      <c r="B30" s="14" t="n">
        <v>113.4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135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90</v>
      </c>
      <c r="P30" s="20" t="n">
        <v>23.4</v>
      </c>
      <c r="Q30" s="21" t="inlineStr">
        <is>
          <t>ADN Le Mans</t>
        </is>
      </c>
      <c r="R30" s="21" t="inlineStr">
        <is>
          <t>03/08/2026</t>
        </is>
      </c>
      <c r="S30" s="21" t="inlineStr">
        <is>
          <t>FB2026-44194</t>
        </is>
      </c>
      <c r="T30" s="21" t="inlineStr">
        <is>
          <t>9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  <c r="Z30" s="17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  <c r="Z32" s="8">
        <f>IF($G32="","",$G32/$Y32)</f>
        <v/>
      </c>
      <c r="AA32" s="4">
        <f>IF($Z32="","",IF($Z32&gt;=25,"atteint",TEXT(25-$Z32,"0.00")&amp;" € manquants"))</f>
        <v/>
      </c>
    </row>
    <row r="33">
      <c r="A33" s="22" t="inlineStr">
        <is>
          <t>Lot de 4 toupies BEYBLADE HASBRO</t>
        </is>
      </c>
      <c r="B33" s="23" t="n">
        <v>38.34</v>
      </c>
      <c r="C33" s="24">
        <f>$B33+$Y33*Paramètres!$B$13</f>
        <v/>
      </c>
      <c r="D33" s="25">
        <f>$C33/(1-Paramètres!$B$5-Paramètres!$B$6)</f>
        <v/>
      </c>
      <c r="E33" s="24">
        <f>CEILING($D33*Paramètres!$B$24,1)</f>
        <v/>
      </c>
      <c r="F33" s="26" t="n">
        <v>55</v>
      </c>
      <c r="G33" s="26">
        <f>IF($F33="","",$F33-$C33-$M33-$N33)</f>
        <v/>
      </c>
      <c r="H33" s="27">
        <f>IF($G33="","",$G33/$C33)</f>
        <v/>
      </c>
      <c r="I33" s="28" t="n">
        <v>4</v>
      </c>
      <c r="J33" s="24">
        <f>$C33/$I33</f>
        <v/>
      </c>
      <c r="K33" s="24">
        <f>IF($F33="","",$F33/$I33)</f>
        <v/>
      </c>
      <c r="L33" s="24">
        <f>IF($G33="","",$G33/$I33)</f>
        <v/>
      </c>
      <c r="M33" s="25">
        <f>IF($F33="","",$F33*(Paramètres!$B$5+Paramètres!$B$6))</f>
        <v/>
      </c>
      <c r="N33" s="24" t="n">
        <v>0</v>
      </c>
      <c r="O33" s="29" t="n">
        <v>30</v>
      </c>
      <c r="P33" s="29" t="n">
        <v>7.8</v>
      </c>
      <c r="Q33" s="30" t="inlineStr">
        <is>
          <t>ADN Le Mans</t>
        </is>
      </c>
      <c r="R33" s="30" t="inlineStr">
        <is>
          <t>03/08/2026</t>
        </is>
      </c>
      <c r="S33" s="30" t="inlineStr">
        <is>
          <t>FB2026-44192</t>
        </is>
      </c>
      <c r="T33" s="30" t="inlineStr">
        <is>
          <t>299</t>
        </is>
      </c>
      <c r="U33" s="22" t="inlineStr">
        <is>
          <t>Leboncoin + eBay, en lot</t>
        </is>
      </c>
      <c r="V33" s="22" t="inlineStr"/>
      <c r="W33" s="22" t="inlineStr">
        <is>
          <t>Marge faible</t>
        </is>
      </c>
      <c r="X33" s="22" t="inlineStr"/>
      <c r="Y33" s="22" t="n">
        <v>1</v>
      </c>
      <c r="Z33" s="26">
        <f>IF($G33="","",$G33/$Y33)</f>
        <v/>
      </c>
      <c r="AA33" s="22">
        <f>IF($Z33="","",IF($Z33&gt;=25,"atteint",TEXT(25-$Z33,"0.00")&amp;" € manquants"))</f>
        <v/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  <c r="Z34" s="8">
        <f>IF($G34="","",$G34/$Y34)</f>
        <v/>
      </c>
      <c r="AA34" s="4">
        <f>IF($Z34="","",IF($Z34&gt;=25,"atteint",TEXT(25-$Z34,"0.00")&amp;" € manquants"))</f>
        <v/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  <c r="Z35" s="17">
        <f>IF($G35="","",$G35/$Y35)</f>
        <v/>
      </c>
      <c r="AA35" s="13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14" t="n">
        <v>12.95</v>
      </c>
      <c r="C42" s="15">
        <f>$B42</f>
        <v/>
      </c>
      <c r="D42" s="16">
        <f>$C42/(1-Paramètres!$B$5-Paramètres!$B$6)</f>
        <v/>
      </c>
      <c r="E42" s="15">
        <f>CEILING($D42*Paramètres!$B$24,1)</f>
        <v/>
      </c>
      <c r="F42" s="32" t="n"/>
      <c r="G42" s="17">
        <f>IF($F42="","",$F42-$C42-$M42-$N42)</f>
        <v/>
      </c>
      <c r="H42" s="18">
        <f>IF($G42="","",$G42/$C42)</f>
        <v/>
      </c>
      <c r="I42" s="19" t="n">
        <v>1</v>
      </c>
      <c r="J42" s="15">
        <f>$C42/$I42</f>
        <v/>
      </c>
      <c r="K42" s="15">
        <f>IF($F42="","",$F42/$I42)</f>
        <v/>
      </c>
      <c r="L42" s="15">
        <f>IF($G42="","",$G42/$I42)</f>
        <v/>
      </c>
      <c r="M42" s="16">
        <f>IF($F42="","",$F42*(Paramètres!$B$5+Paramètres!$B$6))</f>
        <v/>
      </c>
      <c r="N42" s="15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17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14" t="n">
        <v>19.41</v>
      </c>
      <c r="C43" s="15">
        <f>$B43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17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47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47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52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52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52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6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2026-08-14T22:20:22Z</dcterms:created>
  <dcterms:modified xsi:type="dcterms:W3CDTF">2026-08-14T22:20:22Z</dcterms:modified>
</cp:coreProperties>
</file>