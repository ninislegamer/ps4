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ièces uniques" sheetId="3" state="visible" r:id="rId3"/>
    <sheet name="Lots multiples" sheetId="4" state="visible" r:id="rId4"/>
    <sheet name="Légen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&quot;€&quot;"/>
    <numFmt numFmtId="165" formatCode="0.0%"/>
    <numFmt numFmtId="166" formatCode="0.000"/>
    <numFmt numFmtId="167" formatCode="#,##0 &quot;art.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b val="1"/>
      <sz val="11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3" fontId="4" fillId="0" borderId="1" pivotButton="0" quotePrefix="0" xfId="0"/>
    <xf numFmtId="0" fontId="3" fillId="0" borderId="0" pivotButton="0" quotePrefix="0" xfId="0"/>
    <xf numFmtId="3" fontId="3" fillId="0" borderId="1" pivotButton="0" quotePrefix="0" xfId="0"/>
    <xf numFmtId="3" fontId="8" fillId="0" borderId="1" pivotButton="0" quotePrefix="0" xfId="0"/>
    <xf numFmtId="164" fontId="3" fillId="0" borderId="1" pivotButton="0" quotePrefix="0" xfId="0"/>
    <xf numFmtId="164" fontId="4" fillId="0" borderId="1" pivotButton="0" quotePrefix="0" xfId="0"/>
    <xf numFmtId="164" fontId="3" fillId="4" borderId="1" pivotButton="0" quotePrefix="0" xfId="0"/>
    <xf numFmtId="164" fontId="3" fillId="2" borderId="1" pivotButton="0" quotePrefix="0" xfId="0"/>
    <xf numFmtId="165" fontId="4" fillId="0" borderId="1" pivotButton="0" quotePrefix="0" xfId="0"/>
    <xf numFmtId="164" fontId="5" fillId="2" borderId="1" pivotButton="0" quotePrefix="0" xfId="0"/>
    <xf numFmtId="164" fontId="4" fillId="0" borderId="0" pivotButton="0" quotePrefix="0" xfId="0"/>
    <xf numFmtId="165" fontId="5" fillId="2" borderId="1" pivotButton="0" quotePrefix="0" xfId="0"/>
    <xf numFmtId="3" fontId="5" fillId="2" borderId="1" pivotButton="0" quotePrefix="0" xfId="0"/>
    <xf numFmtId="166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2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3" fontId="5" fillId="0" borderId="1" pivotButton="0" quotePrefix="0" xfId="0"/>
    <xf numFmtId="167" fontId="3" fillId="4" borderId="1" pivotButton="0" quotePrefix="0" xfId="0"/>
    <xf numFmtId="0" fontId="4" fillId="0" borderId="0" applyAlignment="1" pivotButton="0" quotePrefix="0" xfId="0">
      <alignment vertical="top" wrapText="1"/>
    </xf>
    <xf numFmtId="164" fontId="3" fillId="0" borderId="1" pivotButton="0" quotePrefix="0" xfId="0"/>
    <xf numFmtId="164" fontId="4" fillId="0" borderId="1" pivotButton="0" quotePrefix="0" xfId="0"/>
    <xf numFmtId="164" fontId="3" fillId="4" borderId="1" pivotButton="0" quotePrefix="0" xfId="0"/>
    <xf numFmtId="164" fontId="3" fillId="2" borderId="1" pivotButton="0" quotePrefix="0" xfId="0"/>
    <xf numFmtId="165" fontId="4" fillId="0" borderId="1" pivotButton="0" quotePrefix="0" xfId="0"/>
    <xf numFmtId="164" fontId="5" fillId="2" borderId="1" pivotButton="0" quotePrefix="0" xfId="0"/>
    <xf numFmtId="164" fontId="4" fillId="0" borderId="0" pivotButton="0" quotePrefix="0" xfId="0"/>
    <xf numFmtId="165" fontId="5" fillId="2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60" customWidth="1" min="3" max="3"/>
  </cols>
  <sheetData>
    <row r="1">
      <c r="A1" s="1" t="inlineStr">
        <is>
          <t>Maison Nsaia — synthèse du stock</t>
        </is>
      </c>
    </row>
    <row r="2">
      <c r="A2" s="2" t="inlineStr">
        <is>
          <t>Tout est calculé depuis les deux feuilles de stock et la feuille Paramètres.</t>
        </is>
      </c>
    </row>
    <row r="4">
      <c r="A4" s="3" t="inlineStr">
        <is>
          <t>Volume</t>
        </is>
      </c>
    </row>
    <row r="5">
      <c r="A5" s="4" t="inlineStr">
        <is>
          <t>Pièces uniques</t>
        </is>
      </c>
      <c r="B5" s="5">
        <f>COUNT('Pièces uniques'!D5:D25)</f>
        <v/>
      </c>
    </row>
    <row r="6">
      <c r="A6" s="4" t="inlineStr">
        <is>
          <t>Articles en lots multiples</t>
        </is>
      </c>
      <c r="B6" s="5">
        <f>'Lots multiples'!B10</f>
        <v/>
      </c>
    </row>
    <row r="7">
      <c r="A7" s="6" t="inlineStr">
        <is>
          <t>Total articles physiques</t>
        </is>
      </c>
      <c r="B7" s="7">
        <f>B5+B6</f>
        <v/>
      </c>
    </row>
    <row r="8">
      <c r="A8" s="4" t="inlineStr">
        <is>
          <t>Annonces à publier</t>
        </is>
      </c>
      <c r="B8" s="8">
        <f>Paramètres!B19</f>
        <v/>
      </c>
    </row>
    <row r="10">
      <c r="A10" s="3" t="inlineStr">
        <is>
          <t>Argent</t>
        </is>
      </c>
    </row>
    <row r="11">
      <c r="A11" s="6" t="inlineStr">
        <is>
          <t>Capital engagé</t>
        </is>
      </c>
      <c r="B11" s="28">
        <f>'Pièces uniques'!D26 + 'Lots multiples'!C10</f>
        <v/>
      </c>
    </row>
    <row r="12">
      <c r="A12" s="6" t="inlineStr">
        <is>
          <t>Chiffre d'affaires attendu</t>
        </is>
      </c>
      <c r="B12" s="28">
        <f>'Pièces uniques'!F26 + 'Lots multiples'!D10</f>
        <v/>
      </c>
    </row>
    <row r="13">
      <c r="A13" s="4" t="inlineStr">
        <is>
          <t>− URSSAF + CFP</t>
        </is>
      </c>
      <c r="B13" s="29">
        <f>-('Pièces uniques'!G26 + 'Lots multiples'!F10)</f>
        <v/>
      </c>
    </row>
    <row r="14">
      <c r="A14" s="4" t="inlineStr">
        <is>
          <t>− Commission carte</t>
        </is>
      </c>
      <c r="B14" s="29">
        <f>-('Pièces uniques'!H26 + 'Lots multiples'!G10)</f>
        <v/>
      </c>
    </row>
    <row r="15">
      <c r="A15" s="4" t="inlineStr">
        <is>
          <t>− Coût de la marchandise vendue</t>
        </is>
      </c>
      <c r="B15" s="29">
        <f>-(B11-'Pièces uniques'!D25)</f>
        <v/>
      </c>
      <c r="C15" s="2" t="inlineStr">
        <is>
          <t>Yeezy exclue : son prix n'est pas fixé</t>
        </is>
      </c>
    </row>
    <row r="16">
      <c r="A16" s="6">
        <f> Marge brute</f>
        <v/>
      </c>
      <c r="B16" s="30">
        <f>'Pièces uniques'!I26 + 'Lots multiples'!H10</f>
        <v/>
      </c>
    </row>
    <row r="18">
      <c r="A18" s="3" t="inlineStr">
        <is>
          <t>Frais de vente</t>
        </is>
      </c>
    </row>
    <row r="19">
      <c r="A19" s="4" t="inlineStr">
        <is>
          <t>− Emballage</t>
        </is>
      </c>
      <c r="B19" s="29">
        <f>-Paramètres!B18*Paramètres!B19</f>
        <v/>
      </c>
    </row>
    <row r="20">
      <c r="A20" s="4" t="inlineStr">
        <is>
          <t>− Frais fixe par transaction carte</t>
        </is>
      </c>
      <c r="B20" s="29">
        <f>-Paramètres!B8*Paramètres!B19</f>
        <v/>
      </c>
    </row>
    <row r="21">
      <c r="A21" s="6">
        <f> Marge avant impôt</f>
        <v/>
      </c>
      <c r="B21" s="30">
        <f>B16+B19+B20</f>
        <v/>
      </c>
    </row>
    <row r="23">
      <c r="A23" s="3" t="inlineStr">
        <is>
          <t>Impôt sur le revenu</t>
        </is>
      </c>
    </row>
    <row r="24">
      <c r="A24" s="2" t="inlineStr">
        <is>
          <t>Versement libératoire non retenu : abattement de 71 %, le reste au barème du foyer.</t>
        </is>
      </c>
    </row>
    <row r="25">
      <c r="A25" s="4" t="inlineStr">
        <is>
          <t>Base imposable</t>
        </is>
      </c>
      <c r="B25" s="29">
        <f>B12*(1-Paramètres!B14)</f>
        <v/>
      </c>
    </row>
    <row r="26">
      <c r="A26" s="4" t="inlineStr">
        <is>
          <t>− Impôt estimé</t>
        </is>
      </c>
      <c r="B26" s="29">
        <f>-B25*Paramètres!B15</f>
        <v/>
      </c>
      <c r="C26" s="2" t="inlineStr">
        <is>
          <t>Dépend du foyer, pas de l'activité</t>
        </is>
      </c>
    </row>
    <row r="27">
      <c r="A27" s="6">
        <f> CE QUI RESTE</f>
        <v/>
      </c>
      <c r="B27" s="31">
        <f>B21+B26</f>
        <v/>
      </c>
    </row>
    <row r="29">
      <c r="A29" s="3" t="inlineStr">
        <is>
          <t>Rendement</t>
        </is>
      </c>
    </row>
    <row r="30">
      <c r="A30" s="4" t="inlineStr">
        <is>
          <t>Marge nette / capital engagé</t>
        </is>
      </c>
      <c r="B30" s="32">
        <f>B27/B11</f>
        <v/>
      </c>
    </row>
    <row r="31">
      <c r="A31" s="4" t="inlineStr">
        <is>
          <t>Marge nette par annonce</t>
        </is>
      </c>
      <c r="B31" s="29">
        <f>B27/Paramètres!B19</f>
        <v/>
      </c>
    </row>
    <row r="32">
      <c r="A32" s="4" t="inlineStr">
        <is>
          <t>Poids de l'URSSAF dans la marge nette</t>
        </is>
      </c>
      <c r="B32" s="32">
        <f>-B13/B27</f>
        <v/>
      </c>
    </row>
    <row r="34">
      <c r="A34" s="3" t="inlineStr">
        <is>
          <t>Charges fixes à prévoir — hors calcul ci-dessus</t>
        </is>
      </c>
    </row>
    <row r="35">
      <c r="A35" s="4" t="inlineStr">
        <is>
          <t>Abonnement Shopify</t>
        </is>
      </c>
      <c r="B35" s="33" t="n">
        <v>36</v>
      </c>
      <c r="C35" s="2" t="inlineStr">
        <is>
          <t>Par mois à partir du 11/11/2026 — 1 €/mois jusque-là</t>
        </is>
      </c>
    </row>
    <row r="36">
      <c r="A36" s="4" t="inlineStr">
        <is>
          <t>Shopify sur douze mois</t>
        </is>
      </c>
      <c r="B36" s="34">
        <f>B35*12</f>
        <v/>
      </c>
    </row>
    <row r="37">
      <c r="A37" s="4" t="inlineStr">
        <is>
          <t>CFE</t>
        </is>
      </c>
      <c r="B37" s="33" t="n">
        <v>400</v>
      </c>
      <c r="C37" s="2" t="inlineStr">
        <is>
          <t>Exonérée la 1ʳᵉ année, puis 200 à 600 €/an selon la commune — arrive en 2027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52" customWidth="1" min="3" max="3"/>
  </cols>
  <sheetData>
    <row r="1">
      <c r="A1" s="1" t="inlineStr">
        <is>
          <t>Maison Nsaia — paramètres de calcul</t>
        </is>
      </c>
    </row>
    <row r="2">
      <c r="A2" s="2" t="inlineStr">
        <is>
          <t>Les cellules jaunes sont les seules à modifier. Tout le reste se recalcule.</t>
        </is>
      </c>
    </row>
    <row r="4">
      <c r="A4" s="6" t="inlineStr">
        <is>
          <t>Charges sur le chiffre d'affaires</t>
        </is>
      </c>
    </row>
    <row r="5">
      <c r="A5" s="4" t="inlineStr">
        <is>
          <t>Cotisations sociales URSSAF (achat-revente BIC)</t>
        </is>
      </c>
      <c r="B5" s="35" t="n">
        <v>0.123</v>
      </c>
      <c r="C5" s="2" t="inlineStr">
        <is>
          <t>À confirmer sur l'espace URSSAF</t>
        </is>
      </c>
    </row>
    <row r="6">
      <c r="A6" s="4" t="inlineStr">
        <is>
          <t>CFP — contribution formation professionnelle</t>
        </is>
      </c>
      <c r="B6" s="35" t="n">
        <v>0.001</v>
      </c>
    </row>
    <row r="7">
      <c r="A7" s="4" t="inlineStr">
        <is>
          <t>Commission carte Shopify Payments</t>
        </is>
      </c>
      <c r="B7" s="35" t="n">
        <v>0.015</v>
      </c>
      <c r="C7" s="2" t="inlineStr">
        <is>
          <t>Ne s'applique pas hors boutique</t>
        </is>
      </c>
    </row>
    <row r="8">
      <c r="A8" s="4" t="inlineStr">
        <is>
          <t>Frais fixe par transaction carte</t>
        </is>
      </c>
      <c r="B8" s="33" t="n">
        <v>0.25</v>
      </c>
    </row>
    <row r="10">
      <c r="A10" s="6" t="inlineStr">
        <is>
          <t>Achat aux enchères</t>
        </is>
      </c>
    </row>
    <row r="11">
      <c r="A11" s="4" t="inlineStr">
        <is>
          <t>Frais acheteur ADN Enchères</t>
        </is>
      </c>
      <c r="B11" s="35" t="n">
        <v>0.26</v>
      </c>
      <c r="C11" s="2" t="inlineStr">
        <is>
          <t>Exception rencontrée : 14,28 % sur le BMW ProRain</t>
        </is>
      </c>
    </row>
    <row r="13">
      <c r="A13" s="6" t="inlineStr">
        <is>
          <t>Impôt sur le revenu — micro-BIC</t>
        </is>
      </c>
    </row>
    <row r="14">
      <c r="A14" s="4" t="inlineStr">
        <is>
          <t>Abattement forfaitaire</t>
        </is>
      </c>
      <c r="B14" s="35" t="n">
        <v>0.71</v>
      </c>
      <c r="C14" s="2" t="inlineStr">
        <is>
          <t>Versement libératoire NON retenu</t>
        </is>
      </c>
    </row>
    <row r="15">
      <c r="A15" s="4" t="inlineStr">
        <is>
          <t>Tranche marginale d'imposition du foyer</t>
        </is>
      </c>
      <c r="B15" s="35" t="n">
        <v>0.11</v>
      </c>
      <c r="C15" s="2" t="inlineStr">
        <is>
          <t>0 %, 11 %, 30 %… à ajuster</t>
        </is>
      </c>
    </row>
    <row r="17">
      <c r="A17" s="6" t="inlineStr">
        <is>
          <t>Frais de vente</t>
        </is>
      </c>
    </row>
    <row r="18">
      <c r="A18" s="4" t="inlineStr">
        <is>
          <t>Coût d'emballage par colis</t>
        </is>
      </c>
      <c r="B18" s="33" t="n">
        <v>2</v>
      </c>
    </row>
    <row r="19">
      <c r="A19" s="4" t="inlineStr">
        <is>
          <t>Nombre d'annonces / colis prévus</t>
        </is>
      </c>
      <c r="B19" s="17" t="n">
        <v>34</v>
      </c>
      <c r="C19" s="2" t="inlineStr">
        <is>
          <t>20 uniques + 12 multiples + 2 lots</t>
        </is>
      </c>
    </row>
    <row r="21">
      <c r="A21" s="6" t="inlineStr">
        <is>
          <t>Coefficient net appliqué (1 − URSSAF − CFP − carte)</t>
        </is>
      </c>
      <c r="B21" s="18">
        <f>1-B5-B6-B7</f>
        <v/>
      </c>
      <c r="C21" s="2" t="inlineStr">
        <is>
          <t>Formule de marge : Prix × ce coefficient − Coût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0" customWidth="1" min="3" max="3"/>
    <col width="12" customWidth="1" min="4" max="4"/>
    <col width="30" customWidth="1" min="5" max="5"/>
    <col width="13" customWidth="1" min="6" max="6"/>
    <col width="13" customWidth="1" min="7" max="7"/>
    <col width="11" customWidth="1" min="8" max="8"/>
    <col width="13" customWidth="1" min="9" max="9"/>
    <col width="28" customWidth="1" min="10" max="10"/>
    <col width="24" customWidth="1" min="11" max="11"/>
  </cols>
  <sheetData>
    <row r="1">
      <c r="A1" s="1" t="inlineStr">
        <is>
          <t>Pièces uniques — 1 exemplaire par ligne</t>
        </is>
      </c>
    </row>
    <row r="2">
      <c r="A2" s="2" t="inlineStr">
        <is>
          <t>Colonnes bleues : à saisir. Colonnes noires : formules, ne pas écraser.</t>
        </is>
      </c>
    </row>
    <row r="4" ht="30" customHeight="1">
      <c r="A4" s="19" t="inlineStr">
        <is>
          <t>Pièce</t>
        </is>
      </c>
      <c r="B4" s="19" t="inlineStr">
        <is>
          <t>Taille</t>
        </is>
      </c>
      <c r="C4" s="19" t="inlineStr">
        <is>
          <t>État</t>
        </is>
      </c>
      <c r="D4" s="19" t="inlineStr">
        <is>
          <t>Coût réel</t>
        </is>
      </c>
      <c r="E4" s="19" t="inlineStr">
        <is>
          <t>Moins cher trouvé sur le net</t>
        </is>
      </c>
      <c r="F4" s="19" t="inlineStr">
        <is>
          <t>Prix de vente</t>
        </is>
      </c>
      <c r="G4" s="19" t="inlineStr">
        <is>
          <t>URSSAF + CFP</t>
        </is>
      </c>
      <c r="H4" s="19" t="inlineStr">
        <is>
          <t>Frais carte</t>
        </is>
      </c>
      <c r="I4" s="19" t="inlineStr">
        <is>
          <t>Marge nette</t>
        </is>
      </c>
      <c r="J4" s="19" t="inlineStr">
        <is>
          <t>Canal</t>
        </is>
      </c>
      <c r="K4" s="19" t="inlineStr">
        <is>
          <t>Statut</t>
        </is>
      </c>
    </row>
    <row r="5">
      <c r="A5" s="20" t="inlineStr">
        <is>
          <t>Bottes Forma Legacy Waterproof</t>
        </is>
      </c>
      <c r="B5" s="20" t="inlineStr">
        <is>
          <t>45</t>
        </is>
      </c>
      <c r="C5" s="20" t="inlineStr">
        <is>
          <t>Neuves</t>
        </is>
      </c>
      <c r="D5" s="36" t="n">
        <v>76</v>
      </c>
      <c r="E5" s="22" t="inlineStr">
        <is>
          <t>172,49 € Dafy Moto</t>
        </is>
      </c>
      <c r="F5" s="36" t="n">
        <v>159</v>
      </c>
      <c r="G5" s="29">
        <f>IF($F5="","",$F5*(Paramètres!$B$5+Paramètres!$B$6))</f>
        <v/>
      </c>
      <c r="H5" s="29">
        <f>IF($F5="","",$F5*Paramètres!$B$7)</f>
        <v/>
      </c>
      <c r="I5" s="28">
        <f>IF($F5="","",$F5-$D5-$G5-$H5)</f>
        <v/>
      </c>
      <c r="J5" s="20" t="inlineStr">
        <is>
          <t>Boutique + Vinted + Leboncoin</t>
        </is>
      </c>
      <c r="K5" s="20" t="inlineStr">
        <is>
          <t>À recevoir</t>
        </is>
      </c>
    </row>
    <row r="6">
      <c r="A6" s="20" t="inlineStr">
        <is>
          <t>Robe Elisabetta Franchi ivoire, viscose</t>
        </is>
      </c>
      <c r="B6" s="20" t="inlineStr">
        <is>
          <t>46 IT / 42 FR</t>
        </is>
      </c>
      <c r="C6" s="20" t="inlineStr">
        <is>
          <t>Neuve avec étiquette</t>
        </is>
      </c>
      <c r="D6" s="36" t="n">
        <v>26</v>
      </c>
      <c r="E6" s="22" t="inlineStr">
        <is>
          <t>Outlet officiel −80 %</t>
        </is>
      </c>
      <c r="F6" s="36" t="n">
        <v>99</v>
      </c>
      <c r="G6" s="29">
        <f>IF($F6="","",$F6*(Paramètres!$B$5+Paramètres!$B$6))</f>
        <v/>
      </c>
      <c r="H6" s="29">
        <f>IF($F6="","",$F6*Paramètres!$B$7)</f>
        <v/>
      </c>
      <c r="I6" s="28">
        <f>IF($F6="","",$F6-$D6-$G6-$H6)</f>
        <v/>
      </c>
      <c r="J6" s="20" t="inlineStr">
        <is>
          <t>Boutique</t>
        </is>
      </c>
      <c r="K6" s="20" t="inlineStr">
        <is>
          <t>Reçue</t>
        </is>
      </c>
    </row>
    <row r="7">
      <c r="A7" s="20" t="inlineStr">
        <is>
          <t>Ballerines Hogan 186 Zeppa Fashion</t>
        </is>
      </c>
      <c r="B7" s="20" t="inlineStr">
        <is>
          <t>36</t>
        </is>
      </c>
      <c r="C7" s="20" t="inlineStr">
        <is>
          <t>Neuves avec boîte</t>
        </is>
      </c>
      <c r="D7" s="36" t="n">
        <v>15</v>
      </c>
      <c r="E7" s="22" t="inlineStr">
        <is>
          <t>83 € Lyst</t>
        </is>
      </c>
      <c r="F7" s="36" t="n">
        <v>79</v>
      </c>
      <c r="G7" s="29">
        <f>IF($F7="","",$F7*(Paramètres!$B$5+Paramètres!$B$6))</f>
        <v/>
      </c>
      <c r="H7" s="29">
        <f>IF($F7="","",$F7*Paramètres!$B$7)</f>
        <v/>
      </c>
      <c r="I7" s="28">
        <f>IF($F7="","",$F7-$D7-$G7-$H7)</f>
        <v/>
      </c>
      <c r="J7" s="20" t="inlineStr">
        <is>
          <t>Boutique</t>
        </is>
      </c>
      <c r="K7" s="20" t="inlineStr">
        <is>
          <t>Reçues</t>
        </is>
      </c>
    </row>
    <row r="8">
      <c r="A8" s="20" t="inlineStr">
        <is>
          <t>Jupe Sonia Rykiel midi twill cerises</t>
        </is>
      </c>
      <c r="B8" s="20" t="inlineStr">
        <is>
          <t>34</t>
        </is>
      </c>
      <c r="C8" s="20" t="inlineStr">
        <is>
          <t>Neuve avec étiquette</t>
        </is>
      </c>
      <c r="D8" s="36" t="n">
        <v>42.8</v>
      </c>
      <c r="E8" s="22" t="inlineStr">
        <is>
          <t>Jaiio −80 %</t>
        </is>
      </c>
      <c r="F8" s="36" t="n">
        <v>99</v>
      </c>
      <c r="G8" s="29">
        <f>IF($F8="","",$F8*(Paramètres!$B$5+Paramètres!$B$6))</f>
        <v/>
      </c>
      <c r="H8" s="29">
        <f>IF($F8="","",$F8*Paramètres!$B$7)</f>
        <v/>
      </c>
      <c r="I8" s="28">
        <f>IF($F8="","",$F8-$D8-$G8-$H8)</f>
        <v/>
      </c>
      <c r="J8" s="20" t="inlineStr">
        <is>
          <t>Boutique</t>
        </is>
      </c>
      <c r="K8" s="20" t="inlineStr">
        <is>
          <t>Reçue</t>
        </is>
      </c>
    </row>
    <row r="9">
      <c r="A9" s="20" t="inlineStr">
        <is>
          <t>BMW Overall ProRain unisexe noir</t>
        </is>
      </c>
      <c r="B9" s="20" t="inlineStr">
        <is>
          <t>XL</t>
        </is>
      </c>
      <c r="C9" s="20" t="inlineStr">
        <is>
          <t>Neuf</t>
        </is>
      </c>
      <c r="D9" s="36" t="n">
        <v>82.61</v>
      </c>
      <c r="E9" s="22" t="inlineStr">
        <is>
          <t>170 € (coloris noir)</t>
        </is>
      </c>
      <c r="F9" s="36" t="n">
        <v>139</v>
      </c>
      <c r="G9" s="29">
        <f>IF($F9="","",$F9*(Paramètres!$B$5+Paramètres!$B$6))</f>
        <v/>
      </c>
      <c r="H9" s="29">
        <f>IF($F9="","",$F9*Paramètres!$B$7)</f>
        <v/>
      </c>
      <c r="I9" s="28">
        <f>IF($F9="","",$F9-$D9-$G9-$H9)</f>
        <v/>
      </c>
      <c r="J9" s="20" t="inlineStr">
        <is>
          <t>Leboncoin + Vinted</t>
        </is>
      </c>
      <c r="K9" s="20" t="inlineStr">
        <is>
          <t>À recevoir</t>
        </is>
      </c>
    </row>
    <row r="10">
      <c r="A10" s="20" t="inlineStr">
        <is>
          <t>Baskets adidas by Stella McCartney UltraBoost 21</t>
        </is>
      </c>
      <c r="B10" s="20" t="inlineStr">
        <is>
          <t>36</t>
        </is>
      </c>
      <c r="C10" s="20" t="inlineStr">
        <is>
          <t>Neuves avec boîte</t>
        </is>
      </c>
      <c r="D10" s="36" t="n">
        <v>35</v>
      </c>
      <c r="E10" s="22" t="inlineStr">
        <is>
          <t>94 € eBay.de</t>
        </is>
      </c>
      <c r="F10" s="36" t="n">
        <v>79</v>
      </c>
      <c r="G10" s="29">
        <f>IF($F10="","",$F10*(Paramètres!$B$5+Paramètres!$B$6))</f>
        <v/>
      </c>
      <c r="H10" s="29">
        <f>IF($F10="","",$F10*Paramètres!$B$7)</f>
        <v/>
      </c>
      <c r="I10" s="28">
        <f>IF($F10="","",$F10-$D10-$G10-$H10)</f>
        <v/>
      </c>
      <c r="J10" s="20" t="inlineStr">
        <is>
          <t>Boutique</t>
        </is>
      </c>
      <c r="K10" s="20" t="inlineStr">
        <is>
          <t>Reçues</t>
        </is>
      </c>
    </row>
    <row r="11">
      <c r="A11" s="20" t="inlineStr">
        <is>
          <t>Blazer Karl Lagerfeld punto noir</t>
        </is>
      </c>
      <c r="B11" s="20" t="inlineStr">
        <is>
          <t>36 FR / IT 40</t>
        </is>
      </c>
      <c r="C11" s="20" t="inlineStr">
        <is>
          <t>Neuf avec étiquette</t>
        </is>
      </c>
      <c r="D11" s="36" t="n">
        <v>45</v>
      </c>
      <c r="E11" s="22" t="inlineStr">
        <is>
          <t>Otrium ; Lyst dès 50 €</t>
        </is>
      </c>
      <c r="F11" s="36" t="n">
        <v>89</v>
      </c>
      <c r="G11" s="29">
        <f>IF($F11="","",$F11*(Paramètres!$B$5+Paramètres!$B$6))</f>
        <v/>
      </c>
      <c r="H11" s="29">
        <f>IF($F11="","",$F11*Paramètres!$B$7)</f>
        <v/>
      </c>
      <c r="I11" s="28">
        <f>IF($F11="","",$F11-$D11-$G11-$H11)</f>
        <v/>
      </c>
      <c r="J11" s="20" t="inlineStr">
        <is>
          <t>Boutique</t>
        </is>
      </c>
      <c r="K11" s="20" t="inlineStr">
        <is>
          <t>Reçu</t>
        </is>
      </c>
    </row>
    <row r="12">
      <c r="A12" s="20" t="inlineStr">
        <is>
          <t>Salomon X Ultra 5 Mid GTX</t>
        </is>
      </c>
      <c r="B12" s="20" t="inlineStr">
        <is>
          <t>44</t>
        </is>
      </c>
      <c r="C12" s="20" t="inlineStr">
        <is>
          <t>Neuves</t>
        </is>
      </c>
      <c r="D12" s="36" t="n">
        <v>65</v>
      </c>
      <c r="E12" s="22" t="inlineStr">
        <is>
          <t>116 €</t>
        </is>
      </c>
      <c r="F12" s="36" t="n">
        <v>109</v>
      </c>
      <c r="G12" s="29">
        <f>IF($F12="","",$F12*(Paramètres!$B$5+Paramètres!$B$6))</f>
        <v/>
      </c>
      <c r="H12" s="29">
        <f>IF($F12="","",$F12*Paramètres!$B$7)</f>
        <v/>
      </c>
      <c r="I12" s="28">
        <f>IF($F12="","",$F12-$D12-$G12-$H12)</f>
        <v/>
      </c>
      <c r="J12" s="20" t="inlineStr">
        <is>
          <t>Leboncoin</t>
        </is>
      </c>
      <c r="K12" s="20" t="inlineStr">
        <is>
          <t>Reçues</t>
        </is>
      </c>
    </row>
    <row r="13">
      <c r="A13" s="20" t="inlineStr">
        <is>
          <t>Robe Sandro Noaim blanche</t>
        </is>
      </c>
      <c r="B13" s="20" t="inlineStr">
        <is>
          <t>40</t>
        </is>
      </c>
      <c r="C13" s="20" t="inlineStr">
        <is>
          <t>Neuve avec étiquette</t>
        </is>
      </c>
      <c r="D13" s="36" t="n">
        <v>50.04</v>
      </c>
      <c r="E13" s="22" t="inlineStr">
        <is>
          <t>Once Again −90 %</t>
        </is>
      </c>
      <c r="F13" s="36" t="n">
        <v>89</v>
      </c>
      <c r="G13" s="29">
        <f>IF($F13="","",$F13*(Paramètres!$B$5+Paramètres!$B$6))</f>
        <v/>
      </c>
      <c r="H13" s="29">
        <f>IF($F13="","",$F13*Paramètres!$B$7)</f>
        <v/>
      </c>
      <c r="I13" s="28">
        <f>IF($F13="","",$F13-$D13-$G13-$H13)</f>
        <v/>
      </c>
      <c r="J13" s="20" t="inlineStr">
        <is>
          <t>Boutique</t>
        </is>
      </c>
      <c r="K13" s="20" t="inlineStr">
        <is>
          <t>Reçue</t>
        </is>
      </c>
    </row>
    <row r="14">
      <c r="A14" s="20" t="inlineStr">
        <is>
          <t>Ballerines Massimo Dutti cuir rouge</t>
        </is>
      </c>
      <c r="B14" s="20" t="inlineStr">
        <is>
          <t>40 IT</t>
        </is>
      </c>
      <c r="C14" s="20" t="inlineStr">
        <is>
          <t>Neuves avec boîte</t>
        </is>
      </c>
      <c r="D14" s="36" t="n">
        <v>25</v>
      </c>
      <c r="E14" s="22" t="inlineStr">
        <is>
          <t>70 €</t>
        </is>
      </c>
      <c r="F14" s="36" t="n">
        <v>59</v>
      </c>
      <c r="G14" s="29">
        <f>IF($F14="","",$F14*(Paramètres!$B$5+Paramètres!$B$6))</f>
        <v/>
      </c>
      <c r="H14" s="29">
        <f>IF($F14="","",$F14*Paramètres!$B$7)</f>
        <v/>
      </c>
      <c r="I14" s="28">
        <f>IF($F14="","",$F14-$D14-$G14-$H14)</f>
        <v/>
      </c>
      <c r="J14" s="20" t="inlineStr">
        <is>
          <t>Leboncoin + eBay</t>
        </is>
      </c>
      <c r="K14" s="20" t="inlineStr">
        <is>
          <t>Reçues</t>
        </is>
      </c>
    </row>
    <row r="15">
      <c r="A15" s="20" t="inlineStr">
        <is>
          <t>Robe bustier Chiara Ferragni noire</t>
        </is>
      </c>
      <c r="B15" s="20" t="inlineStr">
        <is>
          <t>M</t>
        </is>
      </c>
      <c r="C15" s="20" t="inlineStr">
        <is>
          <t>Neuve avec étiquette</t>
        </is>
      </c>
      <c r="D15" s="36" t="n">
        <v>38</v>
      </c>
      <c r="E15" s="22" t="inlineStr">
        <is>
          <t>YOOX −85 %</t>
        </is>
      </c>
      <c r="F15" s="36" t="n">
        <v>69</v>
      </c>
      <c r="G15" s="29">
        <f>IF($F15="","",$F15*(Paramètres!$B$5+Paramètres!$B$6))</f>
        <v/>
      </c>
      <c r="H15" s="29">
        <f>IF($F15="","",$F15*Paramètres!$B$7)</f>
        <v/>
      </c>
      <c r="I15" s="28">
        <f>IF($F15="","",$F15-$D15-$G15-$H15)</f>
        <v/>
      </c>
      <c r="J15" s="20" t="inlineStr">
        <is>
          <t>Boutique + Leboncoin</t>
        </is>
      </c>
      <c r="K15" s="20" t="inlineStr">
        <is>
          <t>Reçue</t>
        </is>
      </c>
    </row>
    <row r="16">
      <c r="A16" s="20" t="inlineStr">
        <is>
          <t>Robe Pier Antonio Gaspari bleu marine</t>
        </is>
      </c>
      <c r="B16" s="20" t="inlineStr">
        <is>
          <t>42</t>
        </is>
      </c>
      <c r="C16" s="20" t="inlineStr">
        <is>
          <t>Neuve</t>
        </is>
      </c>
      <c r="D16" s="36" t="n">
        <v>30</v>
      </c>
      <c r="E16" s="22" t="inlineStr">
        <is>
          <t>YOOX −69 % ; Joli Closet −70 %</t>
        </is>
      </c>
      <c r="F16" s="36" t="n">
        <v>59</v>
      </c>
      <c r="G16" s="29">
        <f>IF($F16="","",$F16*(Paramètres!$B$5+Paramètres!$B$6))</f>
        <v/>
      </c>
      <c r="H16" s="29">
        <f>IF($F16="","",$F16*Paramètres!$B$7)</f>
        <v/>
      </c>
      <c r="I16" s="28">
        <f>IF($F16="","",$F16-$D16-$G16-$H16)</f>
        <v/>
      </c>
      <c r="J16" s="20" t="inlineStr">
        <is>
          <t>Boutique + Leboncoin</t>
        </is>
      </c>
      <c r="K16" s="20" t="inlineStr">
        <is>
          <t>Reçue</t>
        </is>
      </c>
    </row>
    <row r="17">
      <c r="A17" s="20" t="inlineStr">
        <is>
          <t>Baskets Geox gris / argent</t>
        </is>
      </c>
      <c r="B17" s="20" t="inlineStr">
        <is>
          <t>35</t>
        </is>
      </c>
      <c r="C17" s="20" t="inlineStr">
        <is>
          <t>Neuves avec boîte</t>
        </is>
      </c>
      <c r="D17" s="36" t="n">
        <v>25</v>
      </c>
      <c r="E17" s="22" t="inlineStr">
        <is>
          <t>55 €</t>
        </is>
      </c>
      <c r="F17" s="36" t="n">
        <v>49</v>
      </c>
      <c r="G17" s="29">
        <f>IF($F17="","",$F17*(Paramètres!$B$5+Paramètres!$B$6))</f>
        <v/>
      </c>
      <c r="H17" s="29">
        <f>IF($F17="","",$F17*Paramètres!$B$7)</f>
        <v/>
      </c>
      <c r="I17" s="28">
        <f>IF($F17="","",$F17-$D17-$G17-$H17)</f>
        <v/>
      </c>
      <c r="J17" s="20" t="inlineStr">
        <is>
          <t>Leboncoin + eBay</t>
        </is>
      </c>
      <c r="K17" s="20" t="inlineStr">
        <is>
          <t>Reçues</t>
        </is>
      </c>
    </row>
    <row r="18">
      <c r="A18" s="20" t="inlineStr">
        <is>
          <t>Plein Sport montante blanc / violet</t>
        </is>
      </c>
      <c r="B18" s="20" t="inlineStr">
        <is>
          <t>40</t>
        </is>
      </c>
      <c r="C18" s="20" t="inlineStr">
        <is>
          <t>Neuves avec boîte</t>
        </is>
      </c>
      <c r="D18" s="36" t="n">
        <v>62</v>
      </c>
      <c r="E18" s="22" t="inlineStr">
        <is>
          <t>~100 € Stylight −63 %</t>
        </is>
      </c>
      <c r="F18" s="36" t="n">
        <v>89</v>
      </c>
      <c r="G18" s="29">
        <f>IF($F18="","",$F18*(Paramètres!$B$5+Paramètres!$B$6))</f>
        <v/>
      </c>
      <c r="H18" s="29">
        <f>IF($F18="","",$F18*Paramètres!$B$7)</f>
        <v/>
      </c>
      <c r="I18" s="28">
        <f>IF($F18="","",$F18-$D18-$G18-$H18)</f>
        <v/>
      </c>
      <c r="J18" s="20" t="inlineStr">
        <is>
          <t>Leboncoin + eBay</t>
        </is>
      </c>
      <c r="K18" s="20" t="inlineStr">
        <is>
          <t>Reçues</t>
        </is>
      </c>
    </row>
    <row r="19">
      <c r="A19" s="20" t="inlineStr">
        <is>
          <t>Short ba&amp;sh Fegor lightusedblue</t>
        </is>
      </c>
      <c r="B19" s="20" t="inlineStr">
        <is>
          <t>34</t>
        </is>
      </c>
      <c r="C19" s="20" t="inlineStr">
        <is>
          <t>Neuf avec étiquette</t>
        </is>
      </c>
      <c r="D19" s="36" t="n">
        <v>55.4</v>
      </c>
      <c r="E19" s="22" t="inlineStr">
        <is>
          <t>~75 € Modz −50 %</t>
        </is>
      </c>
      <c r="F19" s="36" t="n">
        <v>75</v>
      </c>
      <c r="G19" s="29">
        <f>IF($F19="","",$F19*(Paramètres!$B$5+Paramètres!$B$6))</f>
        <v/>
      </c>
      <c r="H19" s="29">
        <f>IF($F19="","",$F19*Paramètres!$B$7)</f>
        <v/>
      </c>
      <c r="I19" s="28">
        <f>IF($F19="","",$F19-$D19-$G19-$H19)</f>
        <v/>
      </c>
      <c r="J19" s="20" t="inlineStr">
        <is>
          <t>Boutique</t>
        </is>
      </c>
      <c r="K19" s="20" t="inlineStr">
        <is>
          <t>Reçu — saisonnier</t>
        </is>
      </c>
    </row>
    <row r="20">
      <c r="A20" s="20" t="inlineStr">
        <is>
          <t>New Balance GS 1906 Alkaline Green</t>
        </is>
      </c>
      <c r="B20" s="20" t="inlineStr">
        <is>
          <t>38½</t>
        </is>
      </c>
      <c r="C20" s="20" t="inlineStr">
        <is>
          <t>Neuves avec boîte</t>
        </is>
      </c>
      <c r="D20" s="36" t="n">
        <v>80.59999999999999</v>
      </c>
      <c r="E20" s="22" t="inlineStr">
        <is>
          <t>87 € StockX</t>
        </is>
      </c>
      <c r="F20" s="36" t="n">
        <v>99</v>
      </c>
      <c r="G20" s="29">
        <f>IF($F20="","",$F20*(Paramètres!$B$5+Paramètres!$B$6))</f>
        <v/>
      </c>
      <c r="H20" s="29">
        <f>IF($F20="","",$F20*Paramètres!$B$7)</f>
        <v/>
      </c>
      <c r="I20" s="28">
        <f>IF($F20="","",$F20-$D20-$G20-$H20)</f>
        <v/>
      </c>
      <c r="J20" s="20" t="inlineStr">
        <is>
          <t>Leboncoin</t>
        </is>
      </c>
      <c r="K20" s="20" t="inlineStr">
        <is>
          <t>À recevoir</t>
        </is>
      </c>
    </row>
    <row r="21">
      <c r="A21" s="20" t="inlineStr">
        <is>
          <t>Baskets Emporio Armani bleu lavande</t>
        </is>
      </c>
      <c r="B21" s="20" t="inlineStr">
        <is>
          <t>36</t>
        </is>
      </c>
      <c r="C21" s="20" t="inlineStr">
        <is>
          <t>Neuves avec boîte</t>
        </is>
      </c>
      <c r="D21" s="36" t="n">
        <v>55</v>
      </c>
      <c r="E21" s="22" t="inlineStr">
        <is>
          <t>62 € eBay</t>
        </is>
      </c>
      <c r="F21" s="36" t="n">
        <v>69</v>
      </c>
      <c r="G21" s="29">
        <f>IF($F21="","",$F21*(Paramètres!$B$5+Paramètres!$B$6))</f>
        <v/>
      </c>
      <c r="H21" s="29">
        <f>IF($F21="","",$F21*Paramètres!$B$7)</f>
        <v/>
      </c>
      <c r="I21" s="28">
        <f>IF($F21="","",$F21-$D21-$G21-$H21)</f>
        <v/>
      </c>
      <c r="J21" s="20" t="inlineStr">
        <is>
          <t>Leboncoin</t>
        </is>
      </c>
      <c r="K21" s="20" t="inlineStr">
        <is>
          <t>Reçues</t>
        </is>
      </c>
    </row>
    <row r="22">
      <c r="A22" s="20" t="inlineStr">
        <is>
          <t>New Balance BB80 blanc / marine</t>
        </is>
      </c>
      <c r="B22" s="20" t="inlineStr">
        <is>
          <t>38</t>
        </is>
      </c>
      <c r="C22" s="20" t="inlineStr">
        <is>
          <t>Neuves avec boîte</t>
        </is>
      </c>
      <c r="D22" s="36" t="n">
        <v>45</v>
      </c>
      <c r="E22" s="22" t="inlineStr">
        <is>
          <t>54,99 € idealo</t>
        </is>
      </c>
      <c r="F22" s="36" t="n">
        <v>54</v>
      </c>
      <c r="G22" s="29">
        <f>IF($F22="","",$F22*(Paramètres!$B$5+Paramètres!$B$6))</f>
        <v/>
      </c>
      <c r="H22" s="29">
        <f>IF($F22="","",$F22*Paramètres!$B$7)</f>
        <v/>
      </c>
      <c r="I22" s="28">
        <f>IF($F22="","",$F22-$D22-$G22-$H22)</f>
        <v/>
      </c>
      <c r="J22" s="20" t="inlineStr">
        <is>
          <t>Leboncoin</t>
        </is>
      </c>
      <c r="K22" s="20" t="inlineStr">
        <is>
          <t>Reçues</t>
        </is>
      </c>
    </row>
    <row r="23">
      <c r="A23" s="20" t="inlineStr">
        <is>
          <t>Tommy Jeans baskets basses noir / blanc</t>
        </is>
      </c>
      <c r="B23" s="20" t="inlineStr">
        <is>
          <t>40</t>
        </is>
      </c>
      <c r="C23" s="20" t="inlineStr">
        <is>
          <t>Neuves avec boîte</t>
        </is>
      </c>
      <c r="D23" s="36" t="n">
        <v>55</v>
      </c>
      <c r="E23" s="22" t="inlineStr">
        <is>
          <t>60 € Stylight ; 41 € officiel</t>
        </is>
      </c>
      <c r="F23" s="36" t="n">
        <v>65</v>
      </c>
      <c r="G23" s="29">
        <f>IF($F23="","",$F23*(Paramètres!$B$5+Paramètres!$B$6))</f>
        <v/>
      </c>
      <c r="H23" s="29">
        <f>IF($F23="","",$F23*Paramètres!$B$7)</f>
        <v/>
      </c>
      <c r="I23" s="28">
        <f>IF($F23="","",$F23-$D23-$G23-$H23)</f>
        <v/>
      </c>
      <c r="J23" s="20" t="inlineStr">
        <is>
          <t>Leboncoin + eBay</t>
        </is>
      </c>
      <c r="K23" s="20" t="inlineStr">
        <is>
          <t>Reçues</t>
        </is>
      </c>
    </row>
    <row r="24">
      <c r="A24" s="20" t="inlineStr">
        <is>
          <t>New Balance 650 blanche montante</t>
        </is>
      </c>
      <c r="B24" s="20" t="inlineStr">
        <is>
          <t>44</t>
        </is>
      </c>
      <c r="C24" s="20" t="inlineStr">
        <is>
          <t>Neuves avec boîte</t>
        </is>
      </c>
      <c r="D24" s="36" t="n">
        <v>55</v>
      </c>
      <c r="E24" s="22" t="inlineStr">
        <is>
          <t>61 € idealo</t>
        </is>
      </c>
      <c r="F24" s="36" t="n">
        <v>65</v>
      </c>
      <c r="G24" s="29">
        <f>IF($F24="","",$F24*(Paramètres!$B$5+Paramètres!$B$6))</f>
        <v/>
      </c>
      <c r="H24" s="29">
        <f>IF($F24="","",$F24*Paramètres!$B$7)</f>
        <v/>
      </c>
      <c r="I24" s="28">
        <f>IF($F24="","",$F24-$D24-$G24-$H24)</f>
        <v/>
      </c>
      <c r="J24" s="20" t="inlineStr">
        <is>
          <t>Leboncoin</t>
        </is>
      </c>
      <c r="K24" s="20" t="inlineStr">
        <is>
          <t>Reçues</t>
        </is>
      </c>
    </row>
    <row r="25">
      <c r="A25" s="20" t="inlineStr">
        <is>
          <t>Adidas Yeezy 700 V3 Mono Safflower</t>
        </is>
      </c>
      <c r="B25" s="20" t="inlineStr">
        <is>
          <t>38</t>
        </is>
      </c>
      <c r="C25" s="20" t="inlineStr">
        <is>
          <t>Occasion, portée</t>
        </is>
      </c>
      <c r="D25" s="36" t="n">
        <v>75.23999999999999</v>
      </c>
      <c r="E25" s="22" t="inlineStr">
        <is>
          <t>À établir après authentification</t>
        </is>
      </c>
      <c r="F25" s="36" t="n"/>
      <c r="G25" s="29">
        <f>IF($F25="","",$F25*(Paramètres!$B$5+Paramètres!$B$6))</f>
        <v/>
      </c>
      <c r="H25" s="29">
        <f>IF($F25="","",$F25*Paramètres!$B$7)</f>
        <v/>
      </c>
      <c r="I25" s="28">
        <f>IF($F25="","",$F25-$D25-$G25-$H25)</f>
        <v/>
      </c>
      <c r="J25" s="20" t="inlineStr">
        <is>
          <t>Vinted</t>
        </is>
      </c>
      <c r="K25" s="20" t="inlineStr">
        <is>
          <t>Authentification requise</t>
        </is>
      </c>
    </row>
    <row r="26">
      <c r="A26" s="23" t="inlineStr">
        <is>
          <t>TOTAL — 21 pièces</t>
        </is>
      </c>
      <c r="B26" s="24" t="n"/>
      <c r="C26" s="24" t="n"/>
      <c r="D26" s="30">
        <f>SUM(D5:D25)</f>
        <v/>
      </c>
      <c r="E26" s="24" t="n"/>
      <c r="F26" s="30">
        <f>SUM(F5:F25)</f>
        <v/>
      </c>
      <c r="G26" s="30">
        <f>SUM(G5:G25)</f>
        <v/>
      </c>
      <c r="H26" s="30">
        <f>SUM(H5:H25)</f>
        <v/>
      </c>
      <c r="I26" s="30">
        <f>SUM(I5:I25)</f>
        <v/>
      </c>
      <c r="J26" s="24" t="n"/>
      <c r="K26" s="24" t="n"/>
    </row>
    <row r="27">
      <c r="A27" s="2" t="inlineStr">
        <is>
          <t>Le coût total inclut la Yeezy (75,24 €) ; son chiffre d'affaires et sa marge restent à établir.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" customWidth="1" min="2" max="2"/>
    <col width="13" customWidth="1" min="3" max="3"/>
    <col width="13" customWidth="1" min="4" max="4"/>
    <col width="18" customWidth="1" min="5" max="5"/>
    <col width="13" customWidth="1" min="6" max="6"/>
    <col width="11" customWidth="1" min="7" max="7"/>
    <col width="13" customWidth="1" min="8" max="8"/>
    <col width="14" customWidth="1" min="9" max="9"/>
    <col width="28" customWidth="1" min="10" max="10"/>
    <col width="22" customWidth="1" min="11" max="11"/>
    <col width="16" customWidth="1" min="12" max="12"/>
  </cols>
  <sheetData>
    <row r="1">
      <c r="A1" s="1" t="inlineStr">
        <is>
          <t>Lots multiples — plusieurs exemplaires par ligne</t>
        </is>
      </c>
    </row>
    <row r="2">
      <c r="A2" s="2" t="inlineStr">
        <is>
          <t>Le chiffre d'affaires attendu est le total du lot, qu'il se vende en une fois ou à l'unité.</t>
        </is>
      </c>
    </row>
    <row r="4" ht="30" customHeight="1">
      <c r="A4" s="19" t="inlineStr">
        <is>
          <t>Lot</t>
        </is>
      </c>
      <c r="B4" s="19" t="inlineStr">
        <is>
          <t>Nb</t>
        </is>
      </c>
      <c r="C4" s="19" t="inlineStr">
        <is>
          <t>Coût total</t>
        </is>
      </c>
      <c r="D4" s="19" t="inlineStr">
        <is>
          <t>CA attendu</t>
        </is>
      </c>
      <c r="E4" s="19" t="inlineStr">
        <is>
          <t>Prix moyen / article</t>
        </is>
      </c>
      <c r="F4" s="19" t="inlineStr">
        <is>
          <t>URSSAF + CFP</t>
        </is>
      </c>
      <c r="G4" s="19" t="inlineStr">
        <is>
          <t>Frais carte</t>
        </is>
      </c>
      <c r="H4" s="19" t="inlineStr">
        <is>
          <t>Marge nette</t>
        </is>
      </c>
      <c r="I4" s="19" t="inlineStr">
        <is>
          <t>Marge / article</t>
        </is>
      </c>
      <c r="J4" s="19" t="inlineStr">
        <is>
          <t>Mode de vente</t>
        </is>
      </c>
      <c r="K4" s="19" t="inlineStr">
        <is>
          <t>Canal</t>
        </is>
      </c>
      <c r="L4" s="19" t="inlineStr">
        <is>
          <t>Statut</t>
        </is>
      </c>
    </row>
    <row r="5">
      <c r="A5" s="20" t="inlineStr">
        <is>
          <t>Adidas Predator Edge.1 TF</t>
        </is>
      </c>
      <c r="B5" s="25" t="n">
        <v>2</v>
      </c>
      <c r="C5" s="36" t="n">
        <v>40</v>
      </c>
      <c r="D5" s="36" t="n">
        <v>178</v>
      </c>
      <c r="E5" s="29">
        <f>$D5/$B5</f>
        <v/>
      </c>
      <c r="F5" s="29">
        <f>$D5*(Paramètres!$B$5+Paramètres!$B$6)</f>
        <v/>
      </c>
      <c r="G5" s="29">
        <f>$D5*Paramètres!$B$7</f>
        <v/>
      </c>
      <c r="H5" s="28">
        <f>$D5-$C5-$F5-$G5</f>
        <v/>
      </c>
      <c r="I5" s="29">
        <f>$H5/$B5</f>
        <v/>
      </c>
      <c r="J5" s="20" t="inlineStr">
        <is>
          <t>À l'unité — 89 € la paire</t>
        </is>
      </c>
      <c r="K5" s="20" t="inlineStr">
        <is>
          <t>eBay + Leboncoin</t>
        </is>
      </c>
      <c r="L5" s="20" t="inlineStr">
        <is>
          <t>Reçues</t>
        </is>
      </c>
    </row>
    <row r="6">
      <c r="A6" s="20" t="inlineStr">
        <is>
          <t>Lot 20 sandales et tongs (Relife, Tommy, Chattawak, Malabar)</t>
        </is>
      </c>
      <c r="B6" s="25" t="n">
        <v>20</v>
      </c>
      <c r="C6" s="36" t="n">
        <v>100.7</v>
      </c>
      <c r="D6" s="36" t="n">
        <v>199</v>
      </c>
      <c r="E6" s="29">
        <f>$D6/$B6</f>
        <v/>
      </c>
      <c r="F6" s="29">
        <f>$D6*(Paramètres!$B$5+Paramètres!$B$6)</f>
        <v/>
      </c>
      <c r="G6" s="29">
        <f>$D6*Paramètres!$B$7</f>
        <v/>
      </c>
      <c r="H6" s="28">
        <f>$D6-$C6-$F6-$G6</f>
        <v/>
      </c>
      <c r="I6" s="29">
        <f>$H6/$B6</f>
        <v/>
      </c>
      <c r="J6" s="20" t="inlineStr">
        <is>
          <t>En lot — B2B, février-mars</t>
        </is>
      </c>
      <c r="K6" s="20" t="inlineStr">
        <is>
          <t>Leboncoin B2B</t>
        </is>
      </c>
      <c r="L6" s="20" t="inlineStr">
        <is>
          <t>À recevoir</t>
        </is>
      </c>
    </row>
    <row r="7">
      <c r="A7" s="20" t="inlineStr">
        <is>
          <t>Morgan — 6 vêtements femme</t>
        </is>
      </c>
      <c r="B7" s="25" t="n">
        <v>6</v>
      </c>
      <c r="C7" s="36" t="n">
        <v>40</v>
      </c>
      <c r="D7" s="36" t="n">
        <v>92</v>
      </c>
      <c r="E7" s="29">
        <f>$D7/$B7</f>
        <v/>
      </c>
      <c r="F7" s="29">
        <f>$D7*(Paramètres!$B$5+Paramètres!$B$6)</f>
        <v/>
      </c>
      <c r="G7" s="29">
        <f>$D7*Paramètres!$B$7</f>
        <v/>
      </c>
      <c r="H7" s="28">
        <f>$D7-$C7-$F7-$G7</f>
        <v/>
      </c>
      <c r="I7" s="29">
        <f>$H7/$B7</f>
        <v/>
      </c>
      <c r="J7" s="20" t="inlineStr">
        <is>
          <t>À l'unité</t>
        </is>
      </c>
      <c r="K7" s="20" t="inlineStr">
        <is>
          <t>Leboncoin + eBay</t>
        </is>
      </c>
      <c r="L7" s="20" t="inlineStr">
        <is>
          <t>Reçus</t>
        </is>
      </c>
    </row>
    <row r="8">
      <c r="A8" s="20" t="inlineStr">
        <is>
          <t>Mrs.Ertha — gilets de flottaison 3-6 ans</t>
        </is>
      </c>
      <c r="B8" s="25" t="n">
        <v>4</v>
      </c>
      <c r="C8" s="36" t="n">
        <v>37.8</v>
      </c>
      <c r="D8" s="36" t="n">
        <v>76</v>
      </c>
      <c r="E8" s="29">
        <f>$D8/$B8</f>
        <v/>
      </c>
      <c r="F8" s="29">
        <f>$D8*(Paramètres!$B$5+Paramètres!$B$6)</f>
        <v/>
      </c>
      <c r="G8" s="29">
        <f>$D8*Paramètres!$B$7</f>
        <v/>
      </c>
      <c r="H8" s="28">
        <f>$D8-$C8-$F8-$G8</f>
        <v/>
      </c>
      <c r="I8" s="29">
        <f>$H8/$B8</f>
        <v/>
      </c>
      <c r="J8" s="20" t="inlineStr">
        <is>
          <t>À l'unité — 19 € le gilet</t>
        </is>
      </c>
      <c r="K8" s="20" t="inlineStr">
        <is>
          <t>Leboncoin + Vinted</t>
        </is>
      </c>
      <c r="L8" s="20" t="inlineStr">
        <is>
          <t>Reçus</t>
        </is>
      </c>
    </row>
    <row r="9">
      <c r="A9" s="20" t="inlineStr">
        <is>
          <t>Havaianas Slim fuchsia 35/36</t>
        </is>
      </c>
      <c r="B9" s="25" t="n">
        <v>10</v>
      </c>
      <c r="C9" s="36" t="n">
        <v>105</v>
      </c>
      <c r="D9" s="36" t="n">
        <v>139</v>
      </c>
      <c r="E9" s="29">
        <f>$D9/$B9</f>
        <v/>
      </c>
      <c r="F9" s="29">
        <f>$D9*(Paramètres!$B$5+Paramètres!$B$6)</f>
        <v/>
      </c>
      <c r="G9" s="29">
        <f>$D9*Paramètres!$B$7</f>
        <v/>
      </c>
      <c r="H9" s="28">
        <f>$D9-$C9-$F9-$G9</f>
        <v/>
      </c>
      <c r="I9" s="29">
        <f>$H9/$B9</f>
        <v/>
      </c>
      <c r="J9" s="20" t="inlineStr">
        <is>
          <t>En lot — vente unique</t>
        </is>
      </c>
      <c r="K9" s="20" t="inlineStr">
        <is>
          <t>Leboncoin</t>
        </is>
      </c>
      <c r="L9" s="20" t="inlineStr">
        <is>
          <t>Reçues</t>
        </is>
      </c>
    </row>
    <row r="10">
      <c r="A10" s="23" t="inlineStr">
        <is>
          <t>TOTAL</t>
        </is>
      </c>
      <c r="B10" s="26">
        <f>SUM(B5:B9)</f>
        <v/>
      </c>
      <c r="C10" s="30">
        <f>SUM(C5:C9)</f>
        <v/>
      </c>
      <c r="D10" s="30">
        <f>SUM(D5:D9)</f>
        <v/>
      </c>
      <c r="E10" s="24" t="n"/>
      <c r="F10" s="30">
        <f>SUM(F5:F9)</f>
        <v/>
      </c>
      <c r="G10" s="30">
        <f>SUM(G5:G9)</f>
        <v/>
      </c>
      <c r="H10" s="30">
        <f>SUM(H5:H9)</f>
        <v/>
      </c>
      <c r="I10" s="24" t="n"/>
      <c r="J10" s="24" t="n"/>
      <c r="K10" s="24" t="n"/>
      <c r="L1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95" customWidth="1" min="2" max="2"/>
  </cols>
  <sheetData>
    <row r="1">
      <c r="A1" s="1" t="inlineStr">
        <is>
          <t>Mode d'emploi</t>
        </is>
      </c>
    </row>
    <row r="3">
      <c r="A3" s="3" t="inlineStr">
        <is>
          <t>Couleurs</t>
        </is>
      </c>
    </row>
    <row r="4">
      <c r="A4" s="6" t="inlineStr">
        <is>
          <t>Bleu</t>
        </is>
      </c>
      <c r="B4" s="27" t="inlineStr">
        <is>
          <t>Valeur saisie à la main. C'est là qu'on écrit.</t>
        </is>
      </c>
    </row>
    <row r="5">
      <c r="A5" s="6" t="inlineStr">
        <is>
          <t>Jaune</t>
        </is>
      </c>
      <c r="B5" s="27" t="inlineStr">
        <is>
          <t>Hypothèse à ajuster : taux, tranche d'imposition, nombre de colis.</t>
        </is>
      </c>
    </row>
    <row r="6">
      <c r="A6" s="6" t="inlineStr">
        <is>
          <t>Noir</t>
        </is>
      </c>
      <c r="B6" s="27" t="inlineStr">
        <is>
          <t>Formule. Ne pas écraser, elle se recalcule toute seule.</t>
        </is>
      </c>
    </row>
    <row r="7">
      <c r="A7" s="6" t="inlineStr">
        <is>
          <t>Vert</t>
        </is>
      </c>
      <c r="B7" s="27" t="inlineStr">
        <is>
          <t>Renvoi vers une autre feuille.</t>
        </is>
      </c>
    </row>
    <row r="9">
      <c r="A9" s="3" t="inlineStr">
        <is>
          <t>Comment ça marche</t>
        </is>
      </c>
    </row>
    <row r="10">
      <c r="A10" s="6" t="inlineStr">
        <is>
          <t>Ajouter une pièce</t>
        </is>
      </c>
      <c r="B10" s="27" t="inlineStr">
        <is>
          <t>Insérer une ligne AU-DESSUS de la ligne TOTAL, puis recopier les formules de la ligne du dessus (colonnes G, H, I).</t>
        </is>
      </c>
    </row>
    <row r="11">
      <c r="A11" s="6" t="inlineStr">
        <is>
          <t>Changer un prix</t>
        </is>
      </c>
      <c r="B11" s="27" t="inlineStr">
        <is>
          <t>Écrire dans la colonne « Prix de vente ». URSSAF, frais de carte, marge et synthèse suivent.</t>
        </is>
      </c>
    </row>
    <row r="12">
      <c r="A12" s="6" t="inlineStr">
        <is>
          <t>Changer un taux</t>
        </is>
      </c>
      <c r="B12" s="27" t="inlineStr">
        <is>
          <t>Feuille Paramètres. Tout le classeur se recalcule.</t>
        </is>
      </c>
    </row>
    <row r="14">
      <c r="A14" s="3" t="inlineStr">
        <is>
          <t>Règles de prix</t>
        </is>
      </c>
    </row>
    <row r="15">
      <c r="A15" s="6" t="inlineStr">
        <is>
          <t>Sous le moins cher du net</t>
        </is>
      </c>
      <c r="B15" s="27" t="inlineStr">
        <is>
          <t>Se positionner 20 à 30 % en dessous. La colonne « Moins cher trouvé » porte la source du prix retenu.</t>
        </is>
      </c>
    </row>
    <row r="16">
      <c r="A16" s="6" t="inlineStr">
        <is>
          <t>Aucun prix sans sa source</t>
        </is>
      </c>
      <c r="B16" s="27" t="inlineStr">
        <is>
          <t>Un prix sans référence vérifiée n'est pas un prix, c'est une hypothèse.</t>
        </is>
      </c>
    </row>
    <row r="17">
      <c r="A17" s="6" t="inlineStr">
        <is>
          <t>Le port est payé par l'acheteur</t>
        </is>
      </c>
      <c r="B17" s="27" t="inlineStr">
        <is>
          <t>Sans exception. Si la comparaison devient défavorable, on baisse le prix affiché, jamais la marge.</t>
        </is>
      </c>
    </row>
    <row r="18">
      <c r="A18" s="6" t="inlineStr">
        <is>
          <t>Frais acheteur ADN</t>
        </is>
      </c>
      <c r="B18" s="27" t="inlineStr">
        <is>
          <t>26 % à ajouter à l'adjudication, plus le transport du lot, pour obtenir le coût réel.</t>
        </is>
      </c>
    </row>
    <row r="20">
      <c r="A20" s="3" t="inlineStr">
        <is>
          <t>Ce que le calcul ne couvre pas</t>
        </is>
      </c>
    </row>
    <row r="21">
      <c r="A21" s="6" t="inlineStr">
        <is>
          <t>Retours</t>
        </is>
      </c>
      <c r="B21" s="27" t="inlineStr">
        <is>
          <t>Droit de rétractation de 14 jours en vente à un particulier. Une partie des ventes revient.</t>
        </is>
      </c>
    </row>
    <row r="22">
      <c r="A22" s="6" t="inlineStr">
        <is>
          <t>Garantie légale</t>
        </is>
      </c>
      <c r="B22" s="27" t="inlineStr">
        <is>
          <t>2 ans sur le neuf. Provisionner sur les appareils électroniques.</t>
        </is>
      </c>
    </row>
    <row r="23">
      <c r="A23" s="6" t="inlineStr">
        <is>
          <t>Temps</t>
        </is>
      </c>
      <c r="B23" s="27" t="inlineStr">
        <is>
          <t>Photos, rédaction, emballage, dépôt. Le vrai coût des petites marges.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2026-08-12T13:13:19Z</dcterms:created>
  <dcterms:modified xsi:type="dcterms:W3CDTF">2026-08-12T13:23:53Z</dcterms:modified>
</cp:coreProperties>
</file>