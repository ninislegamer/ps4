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ADIDAS x STELLA McCARTNEY ASMC Ultraboost 21 P.36 — modèle d'exposition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79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434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</row>
    <row r="16">
      <c r="A16" s="13" t="inlineStr">
        <is>
          <t>Lot de 12 paires de tongs HAVAIANAS fuchsia 35/36 — neuf</t>
        </is>
      </c>
      <c r="B16" s="14" t="n">
        <v>100.8</v>
      </c>
      <c r="C16" s="15">
        <f>$B16+$Y16*Paramètres!$B$13</f>
        <v/>
      </c>
      <c r="D16" s="16">
        <f>$C16/(1-Paramètres!$B$5-Paramètres!$B$6)</f>
        <v/>
      </c>
      <c r="E16" s="15">
        <f>CEILING($D16*Paramètres!$B$24,1)</f>
        <v/>
      </c>
      <c r="F16" s="17" t="n">
        <v>168</v>
      </c>
      <c r="G16" s="17">
        <f>IF($F16="","",$F16-$C16-$M16-$N16)</f>
        <v/>
      </c>
      <c r="H16" s="18">
        <f>IF($G16="","",$G16/$C16)</f>
        <v/>
      </c>
      <c r="I16" s="19" t="n">
        <v>12</v>
      </c>
      <c r="J16" s="15">
        <f>$C16/$I16</f>
        <v/>
      </c>
      <c r="K16" s="15">
        <f>IF($F16="","",$F16/$I16)</f>
        <v/>
      </c>
      <c r="L16" s="15">
        <f>IF($G16="","",$G16/$I16)</f>
        <v/>
      </c>
      <c r="M16" s="16">
        <f>IF($F16="","",$F16*(Paramètres!$B$5+Paramètres!$B$6))</f>
        <v/>
      </c>
      <c r="N16" s="15" t="n">
        <v>0</v>
      </c>
      <c r="O16" s="20" t="n">
        <v>80</v>
      </c>
      <c r="P16" s="20" t="n">
        <v>20.8</v>
      </c>
      <c r="Q16" s="21" t="inlineStr">
        <is>
          <t>ADN Lyon</t>
        </is>
      </c>
      <c r="R16" s="21" t="inlineStr">
        <is>
          <t>28/07/2026</t>
        </is>
      </c>
      <c r="S16" s="21" t="inlineStr">
        <is>
          <t>FB2026-5844</t>
        </is>
      </c>
      <c r="T16" s="21" t="inlineStr">
        <is>
          <t>120</t>
        </is>
      </c>
      <c r="U16" s="13" t="inlineStr">
        <is>
          <t>Leboncoin, à l'unité</t>
        </is>
      </c>
      <c r="V16" s="13" t="inlineStr"/>
      <c r="W16" s="13" t="inlineStr">
        <is>
          <t>URGENT — 2 sur 12 vendues</t>
        </is>
      </c>
      <c r="X16" s="13" t="inlineStr">
        <is>
          <t>2 vendues</t>
        </is>
      </c>
      <c r="Y16" s="13" t="n">
        <v>12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2026-08-14T01:18:34Z</dcterms:created>
  <dcterms:modified xsi:type="dcterms:W3CDTF">2026-08-14T01:18:34Z</dcterms:modified>
</cp:coreProperties>
</file>