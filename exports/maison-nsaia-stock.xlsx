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0" fontId="0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Pokémon MEGA Munikis Zero M3 — boîte de 30 boosters</t>
        </is>
      </c>
      <c r="B11" s="5" t="n">
        <v>65</v>
      </c>
      <c r="C11" s="6">
        <f>$B11</f>
        <v/>
      </c>
      <c r="D11" s="7">
        <f>$C11/(1-Paramètres!$B$5-Paramètres!$B$6)</f>
        <v/>
      </c>
      <c r="E11" s="6">
        <f>CEILING($D11*Paramètres!$B$24,1)</f>
        <v/>
      </c>
      <c r="F11" s="8" t="n">
        <v>132</v>
      </c>
      <c r="G11" s="8">
        <f>IF($F11="","",$F11-$C11-$M11-$N11)</f>
        <v/>
      </c>
      <c r="H11" s="9">
        <f>IF($G11="","",$G11/$C11)</f>
        <v/>
      </c>
      <c r="I11" s="10" t="n">
        <v>6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3" t="n"/>
      <c r="P11" s="13" t="n"/>
      <c r="Q11" s="12" t="inlineStr">
        <is>
          <t>Vendeur au Japon</t>
        </is>
      </c>
      <c r="R11" s="12" t="inlineStr">
        <is>
          <t>—</t>
        </is>
      </c>
      <c r="S11" s="12" t="inlineStr">
        <is>
          <t>—</t>
        </is>
      </c>
      <c r="T11" s="12" t="inlineStr">
        <is>
          <t>—</t>
        </is>
      </c>
      <c r="U11" s="4" t="inlineStr">
        <is>
          <t>eBay + Leboncoin</t>
        </is>
      </c>
      <c r="V11" s="4" t="inlineStr"/>
      <c r="W11" s="4" t="inlineStr">
        <is>
          <t>Normal</t>
        </is>
      </c>
      <c r="X11" s="4" t="inlineStr"/>
      <c r="Y11" s="4" t="n">
        <v>6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Lot de 2 pompes immergées ROBBY VP550W</t>
        </is>
      </c>
      <c r="B16" s="5" t="n">
        <v>45</v>
      </c>
      <c r="C16" s="6">
        <f>$B16</f>
        <v/>
      </c>
      <c r="D16" s="7">
        <f>$C16/(1-Paramètres!$B$5-Paramètres!$B$6)</f>
        <v/>
      </c>
      <c r="E16" s="6">
        <f>CEILING($D16*Paramètres!$B$24,1)</f>
        <v/>
      </c>
      <c r="F16" s="8" t="n">
        <v>84</v>
      </c>
      <c r="G16" s="8">
        <f>IF($F16="","",$F16-$C16-$M16-$N16)</f>
        <v/>
      </c>
      <c r="H16" s="9">
        <f>IF($G16="","",$G16/$C16)</f>
        <v/>
      </c>
      <c r="I16" s="10" t="n">
        <v>2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3" t="n"/>
      <c r="P16" s="13" t="n"/>
      <c r="Q16" s="12" t="inlineStr">
        <is>
          <t>ADN (facture à retrouver)</t>
        </is>
      </c>
      <c r="R16" s="12" t="inlineStr">
        <is>
          <t>—</t>
        </is>
      </c>
      <c r="S16" s="12" t="inlineStr">
        <is>
          <t>—</t>
        </is>
      </c>
      <c r="T16" s="12" t="inlineStr">
        <is>
          <t>84</t>
        </is>
      </c>
      <c r="U16" s="4" t="inlineStr">
        <is>
          <t>Leboncoin, main propre</t>
        </is>
      </c>
      <c r="V16" s="4" t="inlineStr"/>
      <c r="W16" s="4" t="inlineStr">
        <is>
          <t>Normal</t>
        </is>
      </c>
      <c r="X16" s="4" t="inlineStr"/>
      <c r="Y16" s="4" t="n">
        <v>2</v>
      </c>
    </row>
    <row r="17">
      <c r="A17" s="4" t="inlineStr">
        <is>
          <t>ADIDAS x STELLA McCARTNEY ASMC Ultraboost 21 P.36 — modèle d'exposition</t>
        </is>
      </c>
      <c r="B17" s="5" t="n">
        <v>37.8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79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30</v>
      </c>
      <c r="P17" s="11" t="n">
        <v>7.8</v>
      </c>
      <c r="Q17" s="12" t="inlineStr">
        <is>
          <t>ADN Le Mans</t>
        </is>
      </c>
      <c r="R17" s="12" t="inlineStr">
        <is>
          <t>28/07/2026</t>
        </is>
      </c>
      <c r="S17" s="12" t="inlineStr">
        <is>
          <t>FB2026-43716</t>
        </is>
      </c>
      <c r="T17" s="12" t="inlineStr">
        <is>
          <t>434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14" t="inlineStr">
        <is>
          <t>Lot de 12 paires de tongs HAVAIANAS fuchsia 35/36 — neuf</t>
        </is>
      </c>
      <c r="B18" s="15" t="n">
        <v>100.8</v>
      </c>
      <c r="C18" s="16">
        <f>$B18+$Y18*Paramètres!$B$13</f>
        <v/>
      </c>
      <c r="D18" s="17">
        <f>$C18/(1-Paramètres!$B$5-Paramètres!$B$6)</f>
        <v/>
      </c>
      <c r="E18" s="16">
        <f>CEILING($D18*Paramètres!$B$24,1)</f>
        <v/>
      </c>
      <c r="F18" s="18" t="n">
        <v>168</v>
      </c>
      <c r="G18" s="18">
        <f>IF($F18="","",$F18-$C18-$M18-$N18)</f>
        <v/>
      </c>
      <c r="H18" s="19">
        <f>IF($G18="","",$G18/$C18)</f>
        <v/>
      </c>
      <c r="I18" s="20" t="n">
        <v>12</v>
      </c>
      <c r="J18" s="16">
        <f>$C18/$I18</f>
        <v/>
      </c>
      <c r="K18" s="16">
        <f>IF($F18="","",$F18/$I18)</f>
        <v/>
      </c>
      <c r="L18" s="16">
        <f>IF($G18="","",$G18/$I18)</f>
        <v/>
      </c>
      <c r="M18" s="17">
        <f>IF($F18="","",$F18*(Paramètres!$B$5+Paramètres!$B$6))</f>
        <v/>
      </c>
      <c r="N18" s="16" t="n">
        <v>0</v>
      </c>
      <c r="O18" s="21" t="n">
        <v>80</v>
      </c>
      <c r="P18" s="21" t="n">
        <v>20.8</v>
      </c>
      <c r="Q18" s="22" t="inlineStr">
        <is>
          <t>ADN Lyon</t>
        </is>
      </c>
      <c r="R18" s="22" t="inlineStr">
        <is>
          <t>28/07/2026</t>
        </is>
      </c>
      <c r="S18" s="22" t="inlineStr">
        <is>
          <t>FB2026-5844</t>
        </is>
      </c>
      <c r="T18" s="22" t="inlineStr">
        <is>
          <t>120</t>
        </is>
      </c>
      <c r="U18" s="14" t="inlineStr">
        <is>
          <t>Leboncoin, à l'unité</t>
        </is>
      </c>
      <c r="V18" s="14" t="inlineStr"/>
      <c r="W18" s="14" t="inlineStr">
        <is>
          <t>URGENT — 2 sur 12 vendues</t>
        </is>
      </c>
      <c r="X18" s="14" t="inlineStr">
        <is>
          <t>2 vendues</t>
        </is>
      </c>
      <c r="Y18" s="14" t="n">
        <v>12</v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89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CHIARA FERRAGNI robe bustier courte T.M — neuve</t>
        </is>
      </c>
      <c r="B20" s="5" t="n">
        <v>31.95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69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25</v>
      </c>
      <c r="P20" s="11" t="n">
        <v>6.5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123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Ballerines MASSIMO DUTTI P.41 — traces d'essayage</t>
        </is>
      </c>
      <c r="B21" s="5" t="n">
        <v>25.2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59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20</v>
      </c>
      <c r="P21" s="11" t="n">
        <v>5.2</v>
      </c>
      <c r="Q21" s="12" t="inlineStr">
        <is>
          <t>ADN Le Mans</t>
        </is>
      </c>
      <c r="R21" s="12" t="inlineStr">
        <is>
          <t>28/07/2026</t>
        </is>
      </c>
      <c r="S21" s="12" t="inlineStr">
        <is>
          <t>FB2026-43716</t>
        </is>
      </c>
      <c r="T21" s="12" t="inlineStr">
        <is>
          <t>439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59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</row>
    <row r="23">
      <c r="A23" s="4" t="inlineStr">
        <is>
          <t>PHILIPP PLEIN SPORT baskets montantes P.40 — neuves</t>
        </is>
      </c>
      <c r="B23" s="5" t="n">
        <v>57.51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89</v>
      </c>
      <c r="G23" s="8">
        <f>IF($F23="","",$F23-$C23-$M23-$N23)</f>
        <v/>
      </c>
      <c r="H23" s="9">
        <f>IF($G23="","",$G23/$C23)</f>
        <v/>
      </c>
      <c r="I23" s="10" t="n">
        <v>1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45</v>
      </c>
      <c r="P23" s="11" t="n">
        <v>11.7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FB2026-6023</t>
        </is>
      </c>
      <c r="T23" s="12" t="inlineStr">
        <is>
          <t>159</t>
        </is>
      </c>
      <c r="U23" s="4" t="inlineStr">
        <is>
          <t>Leboncoin + eBay</t>
        </is>
      </c>
      <c r="V23" s="4" t="inlineStr"/>
      <c r="W23" s="4" t="inlineStr">
        <is>
          <t>Normal</t>
        </is>
      </c>
      <c r="X23" s="4" t="inlineStr"/>
      <c r="Y23" s="4" t="n">
        <v>1</v>
      </c>
    </row>
    <row r="24">
      <c r="A24" s="4" t="inlineStr">
        <is>
          <t>Lot de 4 gilets de flottaison MRS.ERTHA 3-6 ans — neuf</t>
        </is>
      </c>
      <c r="B24" s="5" t="n">
        <v>37.8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76</v>
      </c>
      <c r="G24" s="8">
        <f>IF($F24="","",$F24-$C24-$M24-$N24)</f>
        <v/>
      </c>
      <c r="H24" s="9">
        <f>IF($G24="","",$G24/$C24)</f>
        <v/>
      </c>
      <c r="I24" s="10" t="n">
        <v>4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30</v>
      </c>
      <c r="P24" s="11" t="n">
        <v>7.8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FB2026-43717</t>
        </is>
      </c>
      <c r="T24" s="12" t="inlineStr">
        <is>
          <t>303</t>
        </is>
      </c>
      <c r="U24" s="4" t="inlineStr">
        <is>
          <t>Leboncoin + Vinted</t>
        </is>
      </c>
      <c r="V24" s="4" t="inlineStr"/>
      <c r="W24" s="4" t="inlineStr">
        <is>
          <t>URGENT — saisonnier</t>
        </is>
      </c>
      <c r="X24" s="4" t="inlineStr"/>
      <c r="Y24" s="4" t="n">
        <v>4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4" t="inlineStr">
        <is>
          <t>SALOMON X Ultra 5 Mid GTX P.44 — neuves</t>
        </is>
      </c>
      <c r="B28" s="15" t="n">
        <v>76.68000000000001</v>
      </c>
      <c r="C28" s="16">
        <f>$B28+$Y28*Paramètres!$B$13</f>
        <v/>
      </c>
      <c r="D28" s="17">
        <f>$C28/(1-Paramètres!$B$5-Paramètres!$B$6)</f>
        <v/>
      </c>
      <c r="E28" s="16">
        <f>CEILING($D28*Paramètres!$B$24,1)</f>
        <v/>
      </c>
      <c r="F28" s="18" t="n">
        <v>100</v>
      </c>
      <c r="G28" s="18">
        <f>IF($F28="","",$F28-$C28-$M28-$N28)</f>
        <v/>
      </c>
      <c r="H28" s="19">
        <f>IF($G28="","",$G28/$C28)</f>
        <v/>
      </c>
      <c r="I28" s="20" t="n">
        <v>1</v>
      </c>
      <c r="J28" s="16">
        <f>$C28/$I28</f>
        <v/>
      </c>
      <c r="K28" s="16">
        <f>IF($F28="","",$F28/$I28)</f>
        <v/>
      </c>
      <c r="L28" s="16">
        <f>IF($G28="","",$G28/$I28)</f>
        <v/>
      </c>
      <c r="M28" s="17">
        <f>IF($F28="","",$F28*(Paramètres!$B$5+Paramètres!$B$6))</f>
        <v/>
      </c>
      <c r="N28" s="16" t="n">
        <v>0</v>
      </c>
      <c r="O28" s="21" t="n">
        <v>60</v>
      </c>
      <c r="P28" s="21" t="n">
        <v>15.6</v>
      </c>
      <c r="Q28" s="22" t="inlineStr">
        <is>
          <t>ADN Le Mans</t>
        </is>
      </c>
      <c r="R28" s="22" t="inlineStr">
        <is>
          <t>03/08/2026</t>
        </is>
      </c>
      <c r="S28" s="22" t="inlineStr">
        <is>
          <t>FB2026-44192</t>
        </is>
      </c>
      <c r="T28" s="22" t="inlineStr">
        <is>
          <t>11</t>
        </is>
      </c>
      <c r="U28" s="14" t="inlineStr">
        <is>
          <t>Vinted, acheteur en Italie</t>
        </is>
      </c>
      <c r="V28" s="14" t="inlineStr"/>
      <c r="W28" s="14" t="inlineStr">
        <is>
          <t>VENDUE</t>
        </is>
      </c>
      <c r="X28" s="14" t="inlineStr">
        <is>
          <t>12/08/2026</t>
        </is>
      </c>
      <c r="Y28" s="14" t="n">
        <v>1</v>
      </c>
    </row>
    <row r="29">
      <c r="A29" s="4" t="inlineStr">
        <is>
          <t>EMPORIO ARMANI baskets P.36 — neuves</t>
        </is>
      </c>
      <c r="B29" s="5" t="n">
        <v>51.12</v>
      </c>
      <c r="C29" s="6">
        <f>$B29+$Y29*Paramètres!$B$13</f>
        <v/>
      </c>
      <c r="D29" s="7">
        <f>$C29/(1-Paramètres!$B$5-Paramètres!$B$6)</f>
        <v/>
      </c>
      <c r="E29" s="6">
        <f>CEILING($D29*Paramètres!$B$24,1)</f>
        <v/>
      </c>
      <c r="F29" s="8" t="n">
        <v>69</v>
      </c>
      <c r="G29" s="8">
        <f>IF($F29="","",$F29-$C29-$M29-$N29)</f>
        <v/>
      </c>
      <c r="H29" s="9">
        <f>IF($G29="","",$G29/$C29)</f>
        <v/>
      </c>
      <c r="I29" s="10" t="n">
        <v>1</v>
      </c>
      <c r="J29" s="6">
        <f>$C29/$I29</f>
        <v/>
      </c>
      <c r="K29" s="6">
        <f>IF($F29="","",$F29/$I29)</f>
        <v/>
      </c>
      <c r="L29" s="6">
        <f>IF($G29="","",$G29/$I29)</f>
        <v/>
      </c>
      <c r="M29" s="7">
        <f>IF($F29="","",$F29*(Paramètres!$B$5+Paramètres!$B$6))</f>
        <v/>
      </c>
      <c r="N29" s="6" t="n">
        <v>0</v>
      </c>
      <c r="O29" s="11" t="n">
        <v>40</v>
      </c>
      <c r="P29" s="11" t="n">
        <v>10.4</v>
      </c>
      <c r="Q29" s="12" t="inlineStr">
        <is>
          <t>ADN Lyon</t>
        </is>
      </c>
      <c r="R29" s="12" t="inlineStr">
        <is>
          <t>03/08/2026</t>
        </is>
      </c>
      <c r="S29" s="12" t="inlineStr">
        <is>
          <t>FB2026-6023</t>
        </is>
      </c>
      <c r="T29" s="12" t="inlineStr">
        <is>
          <t>150</t>
        </is>
      </c>
      <c r="U29" s="4" t="inlineStr">
        <is>
          <t>Leboncoin</t>
        </is>
      </c>
      <c r="V29" s="4" t="inlineStr"/>
      <c r="W29" s="4" t="inlineStr">
        <is>
          <t>Liquider</t>
        </is>
      </c>
      <c r="X29" s="4" t="inlineStr"/>
      <c r="Y29" s="4" t="n">
        <v>1</v>
      </c>
    </row>
    <row r="30">
      <c r="A30" s="4" t="inlineStr">
        <is>
          <t>NEW BALANCE sneakers P.38 — neuves</t>
        </is>
      </c>
      <c r="B30" s="5" t="n">
        <v>38.34</v>
      </c>
      <c r="C30" s="6">
        <f>$B30+$Y30*Paramètres!$B$13</f>
        <v/>
      </c>
      <c r="D30" s="7">
        <f>$C30/(1-Paramètres!$B$5-Paramètres!$B$6)</f>
        <v/>
      </c>
      <c r="E30" s="6">
        <f>CEILING($D30*Paramètres!$B$24,1)</f>
        <v/>
      </c>
      <c r="F30" s="8" t="n">
        <v>54</v>
      </c>
      <c r="G30" s="8">
        <f>IF($F30="","",$F30-$C30-$M30-$N30)</f>
        <v/>
      </c>
      <c r="H30" s="9">
        <f>IF($G30="","",$G30/$C30)</f>
        <v/>
      </c>
      <c r="I30" s="10" t="n">
        <v>1</v>
      </c>
      <c r="J30" s="6">
        <f>$C30/$I30</f>
        <v/>
      </c>
      <c r="K30" s="6">
        <f>IF($F30="","",$F30/$I30)</f>
        <v/>
      </c>
      <c r="L30" s="6">
        <f>IF($G30="","",$G30/$I30)</f>
        <v/>
      </c>
      <c r="M30" s="7">
        <f>IF($F30="","",$F30*(Paramètres!$B$5+Paramètres!$B$6))</f>
        <v/>
      </c>
      <c r="N30" s="6" t="n">
        <v>0</v>
      </c>
      <c r="O30" s="11" t="n">
        <v>30</v>
      </c>
      <c r="P30" s="11" t="n">
        <v>7.8</v>
      </c>
      <c r="Q30" s="12" t="inlineStr">
        <is>
          <t>ADN Lyon</t>
        </is>
      </c>
      <c r="R30" s="12" t="inlineStr">
        <is>
          <t>03/08/2026</t>
        </is>
      </c>
      <c r="S30" s="12" t="inlineStr">
        <is>
          <t>FB2026-6023</t>
        </is>
      </c>
      <c r="T30" s="12" t="inlineStr">
        <is>
          <t>114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</row>
    <row r="31">
      <c r="A31" s="4" t="inlineStr">
        <is>
          <t>NEW BALANCE baskets montantes P.44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65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156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TOMMY JEANS baskets basses P.40 — neuves</t>
        </is>
      </c>
      <c r="B32" s="5" t="n">
        <v>52.4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65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41</v>
      </c>
      <c r="P32" s="11" t="n">
        <v>10.66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158</t>
        </is>
      </c>
      <c r="U32" s="4" t="inlineStr">
        <is>
          <t>Leboncoin + eBay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4" t="inlineStr">
        <is>
          <t>LACOSTE sneakers P.42 — neuves</t>
        </is>
      </c>
      <c r="B33" s="15" t="n">
        <v>57.51</v>
      </c>
      <c r="C33" s="16">
        <f>$B33+$Y33*Paramètres!$B$13</f>
        <v/>
      </c>
      <c r="D33" s="17">
        <f>$C33/(1-Paramètres!$B$5-Paramètres!$B$6)</f>
        <v/>
      </c>
      <c r="E33" s="16">
        <f>CEILING($D33*Paramètres!$B$24,1)</f>
        <v/>
      </c>
      <c r="F33" s="18" t="n">
        <v>70</v>
      </c>
      <c r="G33" s="18">
        <f>IF($F33="","",$F33-$C33-$M33-$N33)</f>
        <v/>
      </c>
      <c r="H33" s="19">
        <f>IF($G33="","",$G33/$C33)</f>
        <v/>
      </c>
      <c r="I33" s="20" t="n">
        <v>1</v>
      </c>
      <c r="J33" s="16">
        <f>$C33/$I33</f>
        <v/>
      </c>
      <c r="K33" s="16">
        <f>IF($F33="","",$F33/$I33)</f>
        <v/>
      </c>
      <c r="L33" s="16">
        <f>IF($G33="","",$G33/$I33)</f>
        <v/>
      </c>
      <c r="M33" s="17">
        <f>IF($F33="","",$F33*(Paramètres!$B$5+Paramètres!$B$6))</f>
        <v/>
      </c>
      <c r="N33" s="16" t="n">
        <v>0</v>
      </c>
      <c r="O33" s="21" t="n">
        <v>45</v>
      </c>
      <c r="P33" s="21" t="n">
        <v>11.7</v>
      </c>
      <c r="Q33" s="22" t="inlineStr">
        <is>
          <t>ADN Lyon</t>
        </is>
      </c>
      <c r="R33" s="22" t="inlineStr">
        <is>
          <t>03/08/2026</t>
        </is>
      </c>
      <c r="S33" s="22" t="inlineStr">
        <is>
          <t>FB2026-6023</t>
        </is>
      </c>
      <c r="T33" s="22" t="inlineStr">
        <is>
          <t>141</t>
        </is>
      </c>
      <c r="U33" s="14" t="inlineStr">
        <is>
          <t>date à compléter</t>
        </is>
      </c>
      <c r="V33" s="14" t="inlineStr"/>
      <c r="W33" s="14" t="inlineStr">
        <is>
          <t>VENDU</t>
        </is>
      </c>
      <c r="X33" s="14" t="inlineStr">
        <is>
          <t>VENDU</t>
        </is>
      </c>
      <c r="Y33" s="14" t="n">
        <v>1</v>
      </c>
    </row>
    <row r="34">
      <c r="A34" s="14" t="inlineStr">
        <is>
          <t>T-shirt BALENCIAGA T.2 — neuf</t>
        </is>
      </c>
      <c r="B34" s="15" t="n">
        <v>113.4</v>
      </c>
      <c r="C34" s="16">
        <f>$B34+$Y34*Paramètres!$B$13</f>
        <v/>
      </c>
      <c r="D34" s="17">
        <f>$C34/(1-Paramètres!$B$5-Paramètres!$B$6)</f>
        <v/>
      </c>
      <c r="E34" s="16">
        <f>CEILING($D34*Paramètres!$B$24,1)</f>
        <v/>
      </c>
      <c r="F34" s="18" t="n">
        <v>125</v>
      </c>
      <c r="G34" s="18">
        <f>IF($F34="","",$F34-$C34-$M34-$N34)</f>
        <v/>
      </c>
      <c r="H34" s="19">
        <f>IF($G34="","",$G34/$C34)</f>
        <v/>
      </c>
      <c r="I34" s="20" t="n">
        <v>1</v>
      </c>
      <c r="J34" s="16">
        <f>$C34/$I34</f>
        <v/>
      </c>
      <c r="K34" s="16">
        <f>IF($F34="","",$F34/$I34)</f>
        <v/>
      </c>
      <c r="L34" s="16">
        <f>IF($G34="","",$G34/$I34)</f>
        <v/>
      </c>
      <c r="M34" s="17">
        <f>IF($F34="","",$F34*(Paramètres!$B$5+Paramètres!$B$6))</f>
        <v/>
      </c>
      <c r="N34" s="16" t="n">
        <v>0</v>
      </c>
      <c r="O34" s="21" t="n">
        <v>90</v>
      </c>
      <c r="P34" s="21" t="n">
        <v>23.4</v>
      </c>
      <c r="Q34" s="22" t="inlineStr">
        <is>
          <t>ADN Le Mans</t>
        </is>
      </c>
      <c r="R34" s="22" t="inlineStr">
        <is>
          <t>03/08/2026</t>
        </is>
      </c>
      <c r="S34" s="22" t="inlineStr">
        <is>
          <t>FB2026-44194</t>
        </is>
      </c>
      <c r="T34" s="22" t="inlineStr">
        <is>
          <t>9</t>
        </is>
      </c>
      <c r="U34" s="14" t="inlineStr">
        <is>
          <t>date à compléter</t>
        </is>
      </c>
      <c r="V34" s="14" t="inlineStr"/>
      <c r="W34" s="14" t="inlineStr">
        <is>
          <t>VENDU</t>
        </is>
      </c>
      <c r="X34" s="14" t="inlineStr">
        <is>
          <t>VENDU</t>
        </is>
      </c>
      <c r="Y34" s="14" t="n">
        <v>1</v>
      </c>
    </row>
    <row r="35">
      <c r="A35" s="14" t="inlineStr">
        <is>
          <t>Veste en jean ARMANI EXCHANGE T.S — neuve</t>
        </is>
      </c>
      <c r="B35" s="15" t="n">
        <v>25.2</v>
      </c>
      <c r="C35" s="16">
        <f>$B35+$Y35*Paramètres!$B$13</f>
        <v/>
      </c>
      <c r="D35" s="17">
        <f>$C35/(1-Paramètres!$B$5-Paramètres!$B$6)</f>
        <v/>
      </c>
      <c r="E35" s="16">
        <f>CEILING($D35*Paramètres!$B$24,1)</f>
        <v/>
      </c>
      <c r="F35" s="18" t="n">
        <v>35</v>
      </c>
      <c r="G35" s="18">
        <f>IF($F35="","",$F35-$C35-$M35-$N35)</f>
        <v/>
      </c>
      <c r="H35" s="19">
        <f>IF($G35="","",$G35/$C35)</f>
        <v/>
      </c>
      <c r="I35" s="20" t="n">
        <v>1</v>
      </c>
      <c r="J35" s="16">
        <f>$C35/$I35</f>
        <v/>
      </c>
      <c r="K35" s="16">
        <f>IF($F35="","",$F35/$I35)</f>
        <v/>
      </c>
      <c r="L35" s="16">
        <f>IF($G35="","",$G35/$I35)</f>
        <v/>
      </c>
      <c r="M35" s="17">
        <f>IF($F35="","",$F35*(Paramètres!$B$5+Paramètres!$B$6))</f>
        <v/>
      </c>
      <c r="N35" s="16" t="n">
        <v>0</v>
      </c>
      <c r="O35" s="21" t="n">
        <v>20</v>
      </c>
      <c r="P35" s="21" t="n">
        <v>5.2</v>
      </c>
      <c r="Q35" s="22" t="inlineStr">
        <is>
          <t>ADN Le Mans</t>
        </is>
      </c>
      <c r="R35" s="22" t="inlineStr">
        <is>
          <t>28/07/2026</t>
        </is>
      </c>
      <c r="S35" s="22" t="inlineStr">
        <is>
          <t>FB2026-43717</t>
        </is>
      </c>
      <c r="T35" s="22" t="inlineStr">
        <is>
          <t>168</t>
        </is>
      </c>
      <c r="U35" s="14" t="inlineStr">
        <is>
          <t>date à compléter</t>
        </is>
      </c>
      <c r="V35" s="14" t="inlineStr"/>
      <c r="W35" s="14" t="inlineStr">
        <is>
          <t>VENDU</t>
        </is>
      </c>
      <c r="X35" s="14" t="inlineStr">
        <is>
          <t>VENDU</t>
        </is>
      </c>
      <c r="Y35" s="14" t="n">
        <v>1</v>
      </c>
    </row>
    <row r="36">
      <c r="A36" s="14" t="inlineStr">
        <is>
          <t>Baskets NIKE Air Max Moto 2K P.44.5 — neuves</t>
        </is>
      </c>
      <c r="B36" s="15" t="n">
        <v>50.4</v>
      </c>
      <c r="C36" s="16">
        <f>$B36+$Y36*Paramètres!$B$13</f>
        <v/>
      </c>
      <c r="D36" s="17">
        <f>$C36/(1-Paramètres!$B$5-Paramètres!$B$6)</f>
        <v/>
      </c>
      <c r="E36" s="16">
        <f>CEILING($D36*Paramètres!$B$24,1)</f>
        <v/>
      </c>
      <c r="F36" s="18" t="n">
        <v>60</v>
      </c>
      <c r="G36" s="18">
        <f>IF($F36="","",$F36-$C36-$M36-$N36)</f>
        <v/>
      </c>
      <c r="H36" s="19">
        <f>IF($G36="","",$G36/$C36)</f>
        <v/>
      </c>
      <c r="I36" s="20" t="n">
        <v>1</v>
      </c>
      <c r="J36" s="16">
        <f>$C36/$I36</f>
        <v/>
      </c>
      <c r="K36" s="16">
        <f>IF($F36="","",$F36/$I36)</f>
        <v/>
      </c>
      <c r="L36" s="16">
        <f>IF($G36="","",$G36/$I36)</f>
        <v/>
      </c>
      <c r="M36" s="17">
        <f>IF($F36="","",$F36*(Paramètres!$B$5+Paramètres!$B$6))</f>
        <v/>
      </c>
      <c r="N36" s="16" t="n">
        <v>0</v>
      </c>
      <c r="O36" s="21" t="n">
        <v>40</v>
      </c>
      <c r="P36" s="21" t="n">
        <v>10.4</v>
      </c>
      <c r="Q36" s="22" t="inlineStr">
        <is>
          <t>ADN Le Mans</t>
        </is>
      </c>
      <c r="R36" s="22" t="inlineStr">
        <is>
          <t>28/07/2026</t>
        </is>
      </c>
      <c r="S36" s="22" t="inlineStr">
        <is>
          <t>FB2026-43716</t>
        </is>
      </c>
      <c r="T36" s="22" t="inlineStr">
        <is>
          <t>170</t>
        </is>
      </c>
      <c r="U36" s="14" t="inlineStr">
        <is>
          <t>date à compléter</t>
        </is>
      </c>
      <c r="V36" s="14" t="inlineStr"/>
      <c r="W36" s="14" t="inlineStr">
        <is>
          <t>VENDU</t>
        </is>
      </c>
      <c r="X36" s="14" t="inlineStr">
        <is>
          <t>VENDU</t>
        </is>
      </c>
      <c r="Y36" s="14" t="n">
        <v>1</v>
      </c>
    </row>
    <row r="37">
      <c r="A37" s="14" t="inlineStr">
        <is>
          <t>Sac demi-lune nylon noir KARL LAGERFELD JEANS — neuf avec étiquette</t>
        </is>
      </c>
      <c r="B37" s="15" t="n">
        <v>50.4</v>
      </c>
      <c r="C37" s="16">
        <f>$B37+$Y37*Paramètres!$B$13</f>
        <v/>
      </c>
      <c r="D37" s="17">
        <f>$C37/(1-Paramètres!$B$5-Paramètres!$B$6)</f>
        <v/>
      </c>
      <c r="E37" s="16">
        <f>CEILING($D37*Paramètres!$B$24,1)</f>
        <v/>
      </c>
      <c r="F37" s="18" t="n">
        <v>60</v>
      </c>
      <c r="G37" s="18">
        <f>IF($F37="","",$F37-$C37-$M37-$N37)</f>
        <v/>
      </c>
      <c r="H37" s="19">
        <f>IF($G37="","",$G37/$C37)</f>
        <v/>
      </c>
      <c r="I37" s="20" t="n">
        <v>1</v>
      </c>
      <c r="J37" s="16">
        <f>$C37/$I37</f>
        <v/>
      </c>
      <c r="K37" s="16">
        <f>IF($F37="","",$F37/$I37)</f>
        <v/>
      </c>
      <c r="L37" s="16">
        <f>IF($G37="","",$G37/$I37)</f>
        <v/>
      </c>
      <c r="M37" s="17">
        <f>IF($F37="","",$F37*(Paramètres!$B$5+Paramètres!$B$6))</f>
        <v/>
      </c>
      <c r="N37" s="16" t="n">
        <v>0</v>
      </c>
      <c r="O37" s="21" t="n">
        <v>40</v>
      </c>
      <c r="P37" s="21" t="n">
        <v>10.4</v>
      </c>
      <c r="Q37" s="22" t="inlineStr">
        <is>
          <t>ADN Le Mans</t>
        </is>
      </c>
      <c r="R37" s="22" t="inlineStr">
        <is>
          <t>28/07/2026</t>
        </is>
      </c>
      <c r="S37" s="22" t="inlineStr">
        <is>
          <t>FB2026-43716</t>
        </is>
      </c>
      <c r="T37" s="22" t="inlineStr">
        <is>
          <t>431</t>
        </is>
      </c>
      <c r="U37" s="14" t="inlineStr">
        <is>
          <t>date à compléter</t>
        </is>
      </c>
      <c r="V37" s="14" t="inlineStr"/>
      <c r="W37" s="14" t="inlineStr">
        <is>
          <t>VENDU</t>
        </is>
      </c>
      <c r="X37" s="14" t="inlineStr">
        <is>
          <t>VENDU</t>
        </is>
      </c>
      <c r="Y37" s="14" t="n">
        <v>1</v>
      </c>
    </row>
    <row r="38">
      <c r="A38" s="14" t="inlineStr">
        <is>
          <t>Baskets HOKA P.37 1/3 — neuves</t>
        </is>
      </c>
      <c r="B38" s="15" t="n">
        <v>63</v>
      </c>
      <c r="C38" s="16">
        <f>$B38+$Y38*Paramètres!$B$13</f>
        <v/>
      </c>
      <c r="D38" s="17">
        <f>$C38/(1-Paramètres!$B$5-Paramètres!$B$6)</f>
        <v/>
      </c>
      <c r="E38" s="16">
        <f>CEILING($D38*Paramètres!$B$24,1)</f>
        <v/>
      </c>
      <c r="F38" s="18" t="n">
        <v>70</v>
      </c>
      <c r="G38" s="18">
        <f>IF($F38="","",$F38-$C38-$M38-$N38)</f>
        <v/>
      </c>
      <c r="H38" s="19">
        <f>IF($G38="","",$G38/$C38)</f>
        <v/>
      </c>
      <c r="I38" s="20" t="n">
        <v>1</v>
      </c>
      <c r="J38" s="16">
        <f>$C38/$I38</f>
        <v/>
      </c>
      <c r="K38" s="16">
        <f>IF($F38="","",$F38/$I38)</f>
        <v/>
      </c>
      <c r="L38" s="16">
        <f>IF($G38="","",$G38/$I38)</f>
        <v/>
      </c>
      <c r="M38" s="17">
        <f>IF($F38="","",$F38*(Paramètres!$B$5+Paramètres!$B$6))</f>
        <v/>
      </c>
      <c r="N38" s="16" t="n">
        <v>0</v>
      </c>
      <c r="O38" s="21" t="n">
        <v>50</v>
      </c>
      <c r="P38" s="21" t="n">
        <v>13</v>
      </c>
      <c r="Q38" s="22" t="inlineStr">
        <is>
          <t>ADN Le Mans</t>
        </is>
      </c>
      <c r="R38" s="22" t="inlineStr">
        <is>
          <t>28/07/2026</t>
        </is>
      </c>
      <c r="S38" s="22" t="inlineStr">
        <is>
          <t>FB2026-43716</t>
        </is>
      </c>
      <c r="T38" s="22" t="inlineStr">
        <is>
          <t>103</t>
        </is>
      </c>
      <c r="U38" s="14" t="inlineStr">
        <is>
          <t>date à compléter</t>
        </is>
      </c>
      <c r="V38" s="14" t="inlineStr"/>
      <c r="W38" s="14" t="inlineStr">
        <is>
          <t>VENDU</t>
        </is>
      </c>
      <c r="X38" s="14" t="inlineStr">
        <is>
          <t>VENDU</t>
        </is>
      </c>
      <c r="Y38" s="14" t="n">
        <v>1</v>
      </c>
    </row>
    <row r="39">
      <c r="A39" s="23" t="inlineStr">
        <is>
          <t>Lot de 4 toupies BEYBLADE HASBRO</t>
        </is>
      </c>
      <c r="B39" s="24" t="n">
        <v>19.17</v>
      </c>
      <c r="C39" s="25">
        <f>$B39+$Y39*Paramètres!$B$13</f>
        <v/>
      </c>
      <c r="D39" s="26">
        <f>$C39/(1-Paramètres!$B$5-Paramètres!$B$6)</f>
        <v/>
      </c>
      <c r="E39" s="25">
        <f>CEILING($D39*Paramètres!$B$24,1)</f>
        <v/>
      </c>
      <c r="F39" s="27" t="n"/>
      <c r="G39" s="28">
        <f>IF($F39="","",$F39-$C39-$M39-$N39)</f>
        <v/>
      </c>
      <c r="H39" s="29">
        <f>IF($G39="","",$G39/$C39)</f>
        <v/>
      </c>
      <c r="I39" s="30" t="n">
        <v>4</v>
      </c>
      <c r="J39" s="25">
        <f>$C39/$I39</f>
        <v/>
      </c>
      <c r="K39" s="25">
        <f>IF($F39="","",$F39/$I39)</f>
        <v/>
      </c>
      <c r="L39" s="25">
        <f>IF($G39="","",$G39/$I39)</f>
        <v/>
      </c>
      <c r="M39" s="26">
        <f>IF($F39="","",$F39*(Paramètres!$B$5+Paramètres!$B$6))</f>
        <v/>
      </c>
      <c r="N39" s="25" t="n">
        <v>0</v>
      </c>
      <c r="O39" s="31" t="n">
        <v>15</v>
      </c>
      <c r="P39" s="31" t="n">
        <v>3.9</v>
      </c>
      <c r="Q39" s="32" t="inlineStr">
        <is>
          <t>ADN Le Mans</t>
        </is>
      </c>
      <c r="R39" s="32" t="inlineStr">
        <is>
          <t>03/08/2026</t>
        </is>
      </c>
      <c r="S39" s="32" t="inlineStr">
        <is>
          <t>FB2026-44192</t>
        </is>
      </c>
      <c r="T39" s="32" t="inlineStr">
        <is>
          <t>159</t>
        </is>
      </c>
      <c r="U39" s="23" t="inlineStr">
        <is>
          <t>Leboncoin + eBay</t>
        </is>
      </c>
      <c r="V39" s="23" t="inlineStr"/>
      <c r="W39" s="23" t="inlineStr">
        <is>
          <t>PRIX À ÉTABLIR</t>
        </is>
      </c>
      <c r="X39" s="23" t="inlineStr"/>
      <c r="Y39" s="23" t="n">
        <v>1</v>
      </c>
    </row>
    <row r="40">
      <c r="A40" s="23" t="inlineStr">
        <is>
          <t>Lot de 4 toupies BEYBLADE HASBRO</t>
        </is>
      </c>
      <c r="B40" s="24" t="n">
        <v>38.34</v>
      </c>
      <c r="C40" s="25">
        <f>$B40+$Y40*Paramètres!$B$13</f>
        <v/>
      </c>
      <c r="D40" s="26">
        <f>$C40/(1-Paramètres!$B$5-Paramètres!$B$6)</f>
        <v/>
      </c>
      <c r="E40" s="25">
        <f>CEILING($D40*Paramètres!$B$24,1)</f>
        <v/>
      </c>
      <c r="F40" s="27" t="n"/>
      <c r="G40" s="28">
        <f>IF($F40="","",$F40-$C40-$M40-$N40)</f>
        <v/>
      </c>
      <c r="H40" s="29">
        <f>IF($G40="","",$G40/$C40)</f>
        <v/>
      </c>
      <c r="I40" s="30" t="n">
        <v>4</v>
      </c>
      <c r="J40" s="25">
        <f>$C40/$I40</f>
        <v/>
      </c>
      <c r="K40" s="25">
        <f>IF($F40="","",$F40/$I40)</f>
        <v/>
      </c>
      <c r="L40" s="25">
        <f>IF($G40="","",$G40/$I40)</f>
        <v/>
      </c>
      <c r="M40" s="26">
        <f>IF($F40="","",$F40*(Paramètres!$B$5+Paramètres!$B$6))</f>
        <v/>
      </c>
      <c r="N40" s="25" t="n">
        <v>0</v>
      </c>
      <c r="O40" s="31" t="n">
        <v>30</v>
      </c>
      <c r="P40" s="31" t="n">
        <v>7.8</v>
      </c>
      <c r="Q40" s="32" t="inlineStr">
        <is>
          <t>ADN Le Mans</t>
        </is>
      </c>
      <c r="R40" s="32" t="inlineStr">
        <is>
          <t>03/08/2026</t>
        </is>
      </c>
      <c r="S40" s="32" t="inlineStr">
        <is>
          <t>FB2026-44192</t>
        </is>
      </c>
      <c r="T40" s="32" t="inlineStr">
        <is>
          <t>299</t>
        </is>
      </c>
      <c r="U40" s="23" t="inlineStr">
        <is>
          <t>Leboncoin + eBay</t>
        </is>
      </c>
      <c r="V40" s="23" t="inlineStr"/>
      <c r="W40" s="23" t="inlineStr">
        <is>
          <t>PRIX À ÉTABLIR</t>
        </is>
      </c>
      <c r="X40" s="23" t="inlineStr"/>
      <c r="Y40" s="23" t="n">
        <v>1</v>
      </c>
    </row>
    <row r="41">
      <c r="A41" s="4" t="inlineStr">
        <is>
          <t>ADIDAS Yeezy 700 V3 Mono Safflower T.38 — occasion</t>
        </is>
      </c>
      <c r="B41" s="5" t="n">
        <v>63</v>
      </c>
      <c r="C41" s="6">
        <f>$B41+$Y41*Paramètres!$B$13</f>
        <v/>
      </c>
      <c r="D41" s="7">
        <f>$C41/(1-Paramètres!$B$5-Paramètres!$B$6)</f>
        <v/>
      </c>
      <c r="E41" s="6">
        <f>CEILING($D41*Paramètres!$B$24,1)</f>
        <v/>
      </c>
      <c r="F41" s="13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11" t="n">
        <v>50</v>
      </c>
      <c r="P41" s="11" t="n">
        <v>13</v>
      </c>
      <c r="Q41" s="12" t="inlineStr">
        <is>
          <t>ADN Le Mans</t>
        </is>
      </c>
      <c r="R41" s="12" t="inlineStr">
        <is>
          <t>10/08/2026</t>
        </is>
      </c>
      <c r="S41" s="12" t="inlineStr">
        <is>
          <t>FB2026-46056</t>
        </is>
      </c>
      <c r="T41" s="12" t="inlineStr">
        <is>
          <t>8</t>
        </is>
      </c>
      <c r="U41" s="4" t="inlineStr">
        <is>
          <t>Vinted, authentification</t>
        </is>
      </c>
      <c r="V41" s="4" t="inlineStr"/>
      <c r="W41" s="4" t="inlineStr">
        <is>
          <t>PRIX À ÉTABLIR</t>
        </is>
      </c>
      <c r="X41" s="4" t="inlineStr"/>
      <c r="Y41" s="4" t="n">
        <v>1</v>
      </c>
    </row>
    <row r="42">
      <c r="A42" s="33" t="inlineStr">
        <is>
          <t>TOTAL — 36 lots</t>
        </is>
      </c>
      <c r="B42" s="34">
        <f>SUM(B6:B41)</f>
        <v/>
      </c>
      <c r="C42" s="34">
        <f>SUM(C6:C41)</f>
        <v/>
      </c>
      <c r="D42" s="35" t="n"/>
      <c r="E42" s="35" t="n"/>
      <c r="F42" s="34">
        <f>SUM(F6:F41)</f>
        <v/>
      </c>
      <c r="G42" s="34">
        <f>SUM(G6:G41)</f>
        <v/>
      </c>
      <c r="H42" s="36">
        <f>G42/C42</f>
        <v/>
      </c>
      <c r="I42" s="37">
        <f>SUM(I6:I41)</f>
        <v/>
      </c>
      <c r="J42" s="35" t="n"/>
      <c r="K42" s="35" t="n"/>
      <c r="L42" s="35" t="n"/>
      <c r="M42" s="34">
        <f>SUM(M6:M41)</f>
        <v/>
      </c>
      <c r="N42" s="34">
        <f>SUM(N6:N41)</f>
        <v/>
      </c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</row>
  </sheetData>
  <autoFilter ref="A5:Y41"/>
  <conditionalFormatting sqref="G6:G41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110</v>
      </c>
    </row>
    <row r="7">
      <c r="A7" s="40" t="inlineStr">
        <is>
          <t>TOTAL ENGAGÉ</t>
        </is>
      </c>
      <c r="B7" s="34">
        <f>'Stock complet'!C42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complet'!F42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complet'!M42</f>
        <v/>
      </c>
    </row>
    <row r="12">
      <c r="A12" s="39" t="inlineStr">
        <is>
          <t>− Commission carte</t>
        </is>
      </c>
      <c r="B12" s="6">
        <f>-'Stock complet'!N42</f>
        <v/>
      </c>
    </row>
    <row r="13">
      <c r="A13" s="40">
        <f> Marge brute</f>
        <v/>
      </c>
      <c r="B13" s="34">
        <f>'Stock complet'!G42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complet'!I42</f>
        <v/>
      </c>
    </row>
    <row r="25">
      <c r="A25" s="38" t="inlineStr">
        <is>
          <t>À FAIRE</t>
        </is>
      </c>
    </row>
    <row r="26">
      <c r="A26" s="39" t="inlineStr">
        <is>
          <t>3 lots sans prix : Yeezy 700 V3 et les deux lots de toupies Beyblade.</t>
        </is>
      </c>
    </row>
    <row r="27">
      <c r="A27" s="39" t="inlineStr">
        <is>
          <t>Dates de vente à compléter sur les 6 ventes récentes.</t>
        </is>
      </c>
    </row>
    <row r="28">
      <c r="A28" s="39" t="inlineStr">
        <is>
          <t>Facture manquante : lot n°84, les 2 pompes Robby.</t>
        </is>
      </c>
    </row>
    <row r="29">
      <c r="A29" s="44" t="inlineStr">
        <is>
          <t>SEUIL D'ÉQUILIBRE : ne jamais vendre en dessous, la vente coûterait de l'argent.</t>
        </is>
      </c>
    </row>
    <row r="30">
      <c r="A30" s="39" t="inlineStr">
        <is>
          <t>PRIX PLANCHER : le plus bas acceptable, y compris pour la famille. 15 % au-dessus du seuil.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5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5" t="n">
        <v>0.001</v>
      </c>
    </row>
    <row r="7">
      <c r="A7" s="39" t="inlineStr">
        <is>
          <t>Commission carte Shopify Payments</t>
        </is>
      </c>
      <c r="B7" s="45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6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5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5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6" t="n">
        <v>2</v>
      </c>
    </row>
    <row r="21">
      <c r="A21" s="39" t="inlineStr">
        <is>
          <t>Nombre d'annonces prévues</t>
        </is>
      </c>
      <c r="B21" s="47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appliqué au seuil d'équilibre</t>
        </is>
      </c>
      <c r="B24" s="48" t="n">
        <v>1.15</v>
      </c>
      <c r="C24" s="2" t="inlineStr">
        <is>
          <t>prix 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49" t="inlineStr">
        <is>
          <t>Facture</t>
        </is>
      </c>
      <c r="B42" s="49" t="inlineStr">
        <is>
          <t>Date</t>
        </is>
      </c>
      <c r="C42" s="49" t="inlineStr">
        <is>
          <t>Maison</t>
        </is>
      </c>
      <c r="D42" s="49" t="inlineStr">
        <is>
          <t>Commande</t>
        </is>
      </c>
      <c r="E42" s="49" t="inlineStr">
        <is>
          <t>Désignation</t>
        </is>
      </c>
      <c r="F42" s="49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2026-08-13T22:27:28Z</dcterms:created>
  <dcterms:modified xsi:type="dcterms:W3CDTF">2026-08-13T22:27:28Z</dcterms:modified>
</cp:coreProperties>
</file>