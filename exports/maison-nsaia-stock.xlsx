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 complet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Paramètres" sheetId="3" state="visible" r:id="rId3"/>
    <sheet xmlns:r="http://schemas.openxmlformats.org/officeDocument/2006/relationships"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9 restent, monter à 18 €</t>
        </is>
      </c>
      <c r="X10" s="13" t="inlineStr">
        <is>
          <t>2 vendues à 14 € le 10/08 · 1 vendue à 15 € (encaissée le 10/09)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98</v>
      </c>
      <c r="G27" s="57">
        <f>IF($F27="","",$F27-$C27-$M27-$N27)</f>
        <v/>
      </c>
      <c r="H27" s="9">
        <f>IF($G27="","",$G27/$C27)</f>
        <v/>
      </c>
      <c r="I27" s="10" t="n">
        <v>2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31" t="n"/>
      <c r="P27" s="31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Leboncoin, lots de 15</t>
        </is>
      </c>
      <c r="V27" s="4" t="inlineStr"/>
      <c r="W27" s="4" t="inlineStr">
        <is>
          <t>Normal</t>
        </is>
      </c>
      <c r="X27" s="4" t="inlineStr"/>
      <c r="Y27" s="4" t="n">
        <v>2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13" t="inlineStr">
        <is>
          <t>NEW BALANCE G19064IK Alkaline Green P.38½ — neuves avec boîte</t>
        </is>
      </c>
      <c r="B30" s="59" t="n">
        <v>75.59999999999999</v>
      </c>
      <c r="C30" s="60">
        <f>$B30+$Y30*Paramètres!$B$13</f>
        <v/>
      </c>
      <c r="D30" s="61">
        <f>$C30/(1-Paramètres!$B$5-Paramètres!$B$6)</f>
        <v/>
      </c>
      <c r="E30" s="60">
        <f>CEILING($D30*Paramètres!$B$24,1)</f>
        <v/>
      </c>
      <c r="F30" s="62" t="n">
        <v>99</v>
      </c>
      <c r="G30" s="62">
        <f>IF($F30="","",$F30-$C30-$M30-$N30)</f>
        <v/>
      </c>
      <c r="H30" s="18">
        <f>IF($G30="","",$G30/$C30)</f>
        <v/>
      </c>
      <c r="I30" s="19" t="n">
        <v>1</v>
      </c>
      <c r="J30" s="60">
        <f>$C30/$I30</f>
        <v/>
      </c>
      <c r="K30" s="60">
        <f>IF($F30="","",$F30/$I30)</f>
        <v/>
      </c>
      <c r="L30" s="60">
        <f>IF($G30="","",$G30/$I30)</f>
        <v/>
      </c>
      <c r="M30" s="61">
        <f>IF($F30="","",$F30*(Paramètres!$B$5+Paramètres!$B$6))</f>
        <v/>
      </c>
      <c r="N30" s="60" t="n">
        <v>0</v>
      </c>
      <c r="O30" s="63" t="n">
        <v>60</v>
      </c>
      <c r="P30" s="63" t="n">
        <v>15.6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199</t>
        </is>
      </c>
      <c r="U30" s="13" t="inlineStr">
        <is>
          <t>Vinted</t>
        </is>
      </c>
      <c r="V30" s="13" t="inlineStr"/>
      <c r="W30" s="13" t="inlineStr">
        <is>
          <t>VENDUE 99 €, encaissée le 10/09</t>
        </is>
      </c>
      <c r="X30" s="13" t="inlineStr">
        <is>
          <t>10/09/2026</t>
        </is>
      </c>
      <c r="Y30" s="13" t="n">
        <v>1</v>
      </c>
      <c r="Z30" s="62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 le 21/08</t>
        </is>
      </c>
      <c r="V31" s="13" t="inlineStr"/>
      <c r="W31" s="13" t="inlineStr">
        <is>
          <t>VENDUE</t>
        </is>
      </c>
      <c r="X31" s="13" t="inlineStr">
        <is>
          <t>12/08/2026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12.95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69">
        <f>SUM(B6:B45)</f>
        <v/>
      </c>
      <c r="C46" s="69">
        <f>SUM(C6:C45)</f>
        <v/>
      </c>
      <c r="D46" s="35" t="n"/>
      <c r="E46" s="35" t="n"/>
      <c r="F46" s="69">
        <f>SUM(F6:F45)</f>
        <v/>
      </c>
      <c r="G46" s="69">
        <f>SUM(G6:G45)</f>
        <v/>
      </c>
      <c r="H46" s="36">
        <f>G46/C46</f>
        <v/>
      </c>
      <c r="I46" s="70">
        <f>SUM(I6:I45)</f>
        <v/>
      </c>
      <c r="J46" s="35" t="n"/>
      <c r="K46" s="35" t="n"/>
      <c r="L46" s="35" t="n"/>
      <c r="M46" s="69">
        <f>SUM(M6:M45)</f>
        <v/>
      </c>
      <c r="N46" s="69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69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1637.35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178.53</v>
      </c>
    </row>
    <row r="7">
      <c r="A7" s="40" t="inlineStr">
        <is>
          <t>TOTAL ENGAGÉ</t>
        </is>
      </c>
      <c r="B7" s="69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complet'!M46</f>
        <v/>
      </c>
    </row>
    <row r="12">
      <c r="A12" s="39" t="inlineStr">
        <is>
          <t>− Commission carte</t>
        </is>
      </c>
      <c r="B12" s="55">
        <f>-'Stock complet'!N46</f>
        <v/>
      </c>
    </row>
    <row r="13">
      <c r="A13" s="40">
        <f> Marge brute</f>
        <v/>
      </c>
      <c r="B13" s="69">
        <f>'Stock complet'!G46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55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55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373 €,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</f>
        <v/>
      </c>
    </row>
    <row r="31">
      <c r="A31" s="39" t="inlineStr">
        <is>
          <t>Total mensuel à partir du 11/11/2026</t>
        </is>
      </c>
      <c r="B31" s="76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69">
        <f>SUM(G5:G38)</f>
        <v/>
      </c>
      <c r="H39" s="69">
        <f>SUM(H5:H38)</f>
        <v/>
      </c>
      <c r="I39" s="69">
        <f>SUM(I5:I38)</f>
        <v/>
      </c>
      <c r="J39" s="69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55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55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55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55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55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69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2026-10-23T06:23:36Z</dcterms:modified>
</cp:coreProperties>
</file>