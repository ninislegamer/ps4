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complet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Paramètres" sheetId="3" state="visible" r:id="rId3"/>
    <sheet xmlns:r="http://schemas.openxmlformats.org/officeDocument/2006/relationships" name="Factures" sheetId="4" state="visible" r:id="rId4"/>
  </sheets>
  <definedNames>
    <definedName name="_xlnm._FilterDatabase" localSheetId="0" hidden="1">'Stock complet'!$A$5:$AA$45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 &quot;€&quot;"/>
    <numFmt numFmtId="165" formatCode="#,##0 &quot;art.&quot;"/>
    <numFmt numFmtId="166" formatCode="0.0%"/>
    <numFmt numFmtId="167" formatCode="0.0"/>
    <numFmt numFmtId="168" formatCode="0.00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sz val="11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9"/>
    </font>
    <font>
      <name val="Arial"/>
      <color rgb="00C0392B"/>
      <sz val="10"/>
    </font>
    <font>
      <name val="Arial"/>
      <b val="1"/>
      <sz val="10"/>
    </font>
    <font>
      <name val="Arial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A1A1A"/>
      </patternFill>
    </fill>
    <fill>
      <patternFill patternType="solid">
        <fgColor rgb="00E3F4E3"/>
      </patternFill>
    </fill>
    <fill>
      <patternFill patternType="solid">
        <fgColor rgb="00FFF4CE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5" fillId="0" borderId="1" pivotButton="0" quotePrefix="0" xfId="0"/>
    <xf numFmtId="164" fontId="4" fillId="0" borderId="1" pivotButton="0" quotePrefix="0" xfId="0"/>
    <xf numFmtId="164" fontId="7" fillId="0" borderId="1" pivotButton="0" quotePrefix="0" xfId="0"/>
    <xf numFmtId="164" fontId="8" fillId="0" borderId="1" pivotButton="0" quotePrefix="0" xfId="0"/>
    <xf numFmtId="9" fontId="4" fillId="0" borderId="1" pivotButton="0" quotePrefix="0" xfId="0"/>
    <xf numFmtId="3" fontId="5" fillId="0" borderId="1" pivotButton="0" quotePrefix="0" xfId="0"/>
    <xf numFmtId="164" fontId="9" fillId="0" borderId="1" pivotButton="0" quotePrefix="0" xfId="0"/>
    <xf numFmtId="0" fontId="9" fillId="0" borderId="1" pivotButton="0" quotePrefix="0" xfId="0"/>
    <xf numFmtId="0" fontId="4" fillId="4" borderId="1" pivotButton="0" quotePrefix="0" xfId="0"/>
    <xf numFmtId="164" fontId="5" fillId="4" borderId="1" pivotButton="0" quotePrefix="0" xfId="0"/>
    <xf numFmtId="164" fontId="4" fillId="4" borderId="1" pivotButton="0" quotePrefix="0" xfId="0"/>
    <xf numFmtId="164" fontId="7" fillId="4" borderId="1" pivotButton="0" quotePrefix="0" xfId="0"/>
    <xf numFmtId="164" fontId="8" fillId="4" borderId="1" pivotButton="0" quotePrefix="0" xfId="0"/>
    <xf numFmtId="9" fontId="4" fillId="4" borderId="1" pivotButton="0" quotePrefix="0" xfId="0"/>
    <xf numFmtId="3" fontId="5" fillId="4" borderId="1" pivotButton="0" quotePrefix="0" xfId="0"/>
    <xf numFmtId="164" fontId="9" fillId="4" borderId="1" pivotButton="0" quotePrefix="0" xfId="0"/>
    <xf numFmtId="0" fontId="9" fillId="4" borderId="1" pivotButton="0" quotePrefix="0" xfId="0"/>
    <xf numFmtId="0" fontId="4" fillId="5" borderId="1" pivotButton="0" quotePrefix="0" xfId="0"/>
    <xf numFmtId="164" fontId="5" fillId="5" borderId="1" pivotButton="0" quotePrefix="0" xfId="0"/>
    <xf numFmtId="164" fontId="4" fillId="5" borderId="1" pivotButton="0" quotePrefix="0" xfId="0"/>
    <xf numFmtId="164" fontId="7" fillId="5" borderId="1" pivotButton="0" quotePrefix="0" xfId="0"/>
    <xf numFmtId="164" fontId="8" fillId="5" borderId="1" pivotButton="0" quotePrefix="0" xfId="0"/>
    <xf numFmtId="9" fontId="4" fillId="5" borderId="1" pivotButton="0" quotePrefix="0" xfId="0"/>
    <xf numFmtId="3" fontId="5" fillId="5" borderId="1" pivotButton="0" quotePrefix="0" xfId="0"/>
    <xf numFmtId="164" fontId="9" fillId="5" borderId="1" pivotButton="0" quotePrefix="0" xfId="0"/>
    <xf numFmtId="0" fontId="9" fillId="5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8" fillId="6" borderId="1" pivotButton="0" quotePrefix="0" xfId="0"/>
    <xf numFmtId="164" fontId="8" fillId="6" borderId="1" pivotButton="0" quotePrefix="0" xfId="0"/>
    <xf numFmtId="0" fontId="0" fillId="6" borderId="1" pivotButton="0" quotePrefix="0" xfId="0"/>
    <xf numFmtId="9" fontId="8" fillId="6" borderId="1" pivotButton="0" quotePrefix="0" xfId="0"/>
    <xf numFmtId="165" fontId="8" fillId="6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164" fontId="8" fillId="2" borderId="1" pivotButton="0" quotePrefix="0" xfId="0"/>
    <xf numFmtId="166" fontId="4" fillId="0" borderId="1" pivotButton="0" quotePrefix="0" xfId="0"/>
    <xf numFmtId="3" fontId="4" fillId="0" borderId="1" pivotButton="0" quotePrefix="0" xfId="0"/>
    <xf numFmtId="167" fontId="8" fillId="0" borderId="1" pivotButton="0" quotePrefix="0" xfId="0"/>
    <xf numFmtId="0" fontId="7" fillId="0" borderId="0" pivotButton="0" quotePrefix="0" xfId="0"/>
    <xf numFmtId="166" fontId="5" fillId="2" borderId="1" pivotButton="0" quotePrefix="0" xfId="0"/>
    <xf numFmtId="164" fontId="5" fillId="2" borderId="1" pivotButton="0" quotePrefix="0" xfId="0"/>
    <xf numFmtId="3" fontId="5" fillId="2" borderId="1" pivotButton="0" quotePrefix="0" xfId="0"/>
    <xf numFmtId="9" fontId="5" fillId="2" borderId="1" pivotButton="0" quotePrefix="0" xfId="0"/>
    <xf numFmtId="164" fontId="4" fillId="2" borderId="1" pivotButton="0" quotePrefix="0" xfId="0"/>
    <xf numFmtId="10" fontId="5" fillId="2" borderId="1" pivotButton="0" quotePrefix="0" xfId="0"/>
    <xf numFmtId="168" fontId="4" fillId="0" borderId="1" pivotButton="0" quotePrefix="0" xfId="0"/>
    <xf numFmtId="0" fontId="6" fillId="3" borderId="1" applyAlignment="1" pivotButton="0" quotePrefix="0" xfId="0">
      <alignment horizontal="center"/>
    </xf>
    <xf numFmtId="164" fontId="5" fillId="0" borderId="1" pivotButton="0" quotePrefix="0" xfId="0"/>
    <xf numFmtId="164" fontId="4" fillId="0" borderId="1" pivotButton="0" quotePrefix="0" xfId="0"/>
    <xf numFmtId="164" fontId="7" fillId="0" borderId="1" pivotButton="0" quotePrefix="0" xfId="0"/>
    <xf numFmtId="164" fontId="8" fillId="0" borderId="1" pivotButton="0" quotePrefix="0" xfId="0"/>
    <xf numFmtId="164" fontId="9" fillId="0" borderId="1" pivotButton="0" quotePrefix="0" xfId="0"/>
    <xf numFmtId="164" fontId="5" fillId="4" borderId="1" pivotButton="0" quotePrefix="0" xfId="0"/>
    <xf numFmtId="164" fontId="4" fillId="4" borderId="1" pivotButton="0" quotePrefix="0" xfId="0"/>
    <xf numFmtId="164" fontId="7" fillId="4" borderId="1" pivotButton="0" quotePrefix="0" xfId="0"/>
    <xf numFmtId="164" fontId="8" fillId="4" borderId="1" pivotButton="0" quotePrefix="0" xfId="0"/>
    <xf numFmtId="164" fontId="9" fillId="4" borderId="1" pivotButton="0" quotePrefix="0" xfId="0"/>
    <xf numFmtId="164" fontId="5" fillId="5" borderId="1" pivotButton="0" quotePrefix="0" xfId="0"/>
    <xf numFmtId="164" fontId="4" fillId="5" borderId="1" pivotButton="0" quotePrefix="0" xfId="0"/>
    <xf numFmtId="164" fontId="7" fillId="5" borderId="1" pivotButton="0" quotePrefix="0" xfId="0"/>
    <xf numFmtId="164" fontId="8" fillId="5" borderId="1" pivotButton="0" quotePrefix="0" xfId="0"/>
    <xf numFmtId="164" fontId="9" fillId="5" borderId="1" pivotButton="0" quotePrefix="0" xfId="0"/>
    <xf numFmtId="164" fontId="8" fillId="6" borderId="1" pivotButton="0" quotePrefix="0" xfId="0"/>
    <xf numFmtId="165" fontId="8" fillId="6" borderId="1" pivotButton="0" quotePrefix="0" xfId="0"/>
    <xf numFmtId="164" fontId="8" fillId="2" borderId="1" pivotButton="0" quotePrefix="0" xfId="0"/>
    <xf numFmtId="166" fontId="4" fillId="0" borderId="1" pivotButton="0" quotePrefix="0" xfId="0"/>
    <xf numFmtId="167" fontId="8" fillId="0" borderId="1" pivotButton="0" quotePrefix="0" xfId="0"/>
    <xf numFmtId="166" fontId="5" fillId="2" borderId="1" pivotButton="0" quotePrefix="0" xfId="0"/>
    <xf numFmtId="164" fontId="5" fillId="2" borderId="1" pivotButton="0" quotePrefix="0" xfId="0"/>
    <xf numFmtId="164" fontId="4" fillId="2" borderId="1" pivotButton="0" quotePrefix="0" xfId="0"/>
    <xf numFmtId="168" fontId="4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CE4E4"/>
        </patternFill>
      </fill>
    </dxf>
    <dxf>
      <fill>
        <patternFill patternType="solid">
          <fgColor rgb="00E3F4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  <col width="14" customWidth="1" min="5" max="5"/>
    <col width="15" customWidth="1" min="6" max="6"/>
    <col width="13" customWidth="1" min="7" max="7"/>
    <col width="11" customWidth="1" min="8" max="8"/>
    <col width="6" customWidth="1" min="9" max="9"/>
    <col width="12" customWidth="1" min="10" max="10"/>
    <col width="12" customWidth="1" min="11" max="11"/>
    <col width="13" customWidth="1" min="12" max="12"/>
    <col width="11" customWidth="1" min="13" max="13"/>
    <col width="10" customWidth="1" min="14" max="14"/>
    <col width="11" customWidth="1" min="15" max="15"/>
    <col width="14" customWidth="1" min="16" max="16"/>
    <col width="15" customWidth="1" min="17" max="17"/>
    <col width="13" customWidth="1" min="18" max="18"/>
    <col width="15" customWidth="1" min="19" max="19"/>
    <col width="7" customWidth="1" min="20" max="20"/>
    <col width="24" customWidth="1" min="21" max="21"/>
    <col width="12" customWidth="1" min="22" max="22"/>
    <col width="22" customWidth="1" min="23" max="23"/>
    <col width="14" customWidth="1" min="24" max="24"/>
    <col width="9" customWidth="1" min="25" max="25"/>
    <col width="17" customWidth="1" min="26" max="26"/>
    <col width="18" customWidth="1" min="27" max="27"/>
  </cols>
  <sheetData>
    <row r="1">
      <c r="A1" s="1" t="inlineStr">
        <is>
          <t>Stock complet — coûts établis d'après les factures ADN</t>
        </is>
      </c>
    </row>
    <row r="2">
      <c r="A2" s="2" t="inlineStr">
        <is>
          <t>Coût réel = adjudication + frais acheteur + frais plateforme + livraison répartie par unité de vente.</t>
        </is>
      </c>
    </row>
    <row r="3">
      <c r="A3" s="2" t="inlineStr">
        <is>
          <t>Lignes jaunes = prix de vente à établir. Ligne verte = vendue.</t>
        </is>
      </c>
    </row>
    <row r="5" ht="40" customHeight="1">
      <c r="A5" s="3" t="inlineStr">
        <is>
          <t>Désignation</t>
        </is>
      </c>
      <c r="B5" s="3" t="inlineStr">
        <is>
          <t>Coût facturé</t>
        </is>
      </c>
      <c r="C5" s="3" t="inlineStr">
        <is>
          <t>Coût réel</t>
        </is>
      </c>
      <c r="D5" s="3" t="inlineStr">
        <is>
          <t>Seuil d'équilibre</t>
        </is>
      </c>
      <c r="E5" s="3" t="inlineStr">
        <is>
          <t>Prix plancher</t>
        </is>
      </c>
      <c r="F5" s="3" t="inlineStr">
        <is>
          <t>PRIX DE VENTE</t>
        </is>
      </c>
      <c r="G5" s="3" t="inlineStr">
        <is>
          <t>Marge nette</t>
        </is>
      </c>
      <c r="H5" s="3" t="inlineStr">
        <is>
          <t>Rendement</t>
        </is>
      </c>
      <c r="I5" s="3" t="inlineStr">
        <is>
          <t>Nb</t>
        </is>
      </c>
      <c r="J5" s="3" t="inlineStr">
        <is>
          <t>Coût / art.</t>
        </is>
      </c>
      <c r="K5" s="3" t="inlineStr">
        <is>
          <t>Prix / art.</t>
        </is>
      </c>
      <c r="L5" s="3" t="inlineStr">
        <is>
          <t>Marge / art.</t>
        </is>
      </c>
      <c r="M5" s="3" t="inlineStr">
        <is>
          <t>URSSAF</t>
        </is>
      </c>
      <c r="N5" s="3" t="inlineStr">
        <is>
          <t>Carte</t>
        </is>
      </c>
      <c r="O5" s="3" t="inlineStr">
        <is>
          <t>Adjugé</t>
        </is>
      </c>
      <c r="P5" s="3" t="inlineStr">
        <is>
          <t>Frais acheteur</t>
        </is>
      </c>
      <c r="Q5" s="3" t="inlineStr">
        <is>
          <t>Maison</t>
        </is>
      </c>
      <c r="R5" s="3" t="inlineStr">
        <is>
          <t>Date</t>
        </is>
      </c>
      <c r="S5" s="3" t="inlineStr">
        <is>
          <t>Facture</t>
        </is>
      </c>
      <c r="T5" s="3" t="inlineStr">
        <is>
          <t>Lot</t>
        </is>
      </c>
      <c r="U5" s="3" t="inlineStr">
        <is>
          <t>Canal</t>
        </is>
      </c>
      <c r="V5" s="3" t="inlineStr">
        <is>
          <t>Statut</t>
        </is>
      </c>
      <c r="W5" s="3" t="inlineStr">
        <is>
          <t>Priorité</t>
        </is>
      </c>
      <c r="X5" s="3" t="inlineStr">
        <is>
          <t>Vendu le</t>
        </is>
      </c>
      <c r="Y5" s="3" t="inlineStr">
        <is>
          <t>Unités de vente</t>
        </is>
      </c>
      <c r="Z5" s="3" t="inlineStr">
        <is>
          <t>MARGE PAR ANNONCE</t>
        </is>
      </c>
      <c r="AA5" s="3" t="inlineStr">
        <is>
          <t>Objectif 25 €</t>
        </is>
      </c>
    </row>
    <row r="6">
      <c r="A6" s="4" t="inlineStr">
        <is>
          <t>Lot de 20 paires de sandales et tongs RELIFE / TOMMY JEANS — neuf</t>
        </is>
      </c>
      <c r="B6" s="54" t="n">
        <v>56.7</v>
      </c>
      <c r="C6" s="55">
        <f>$B6+$Y6*Paramètres!$B$13</f>
        <v/>
      </c>
      <c r="D6" s="56">
        <f>$C6/(1-Paramètres!$B$5-Paramètres!$B$6)</f>
        <v/>
      </c>
      <c r="E6" s="55">
        <f>CEILING($D6*Paramètres!$B$24,1)</f>
        <v/>
      </c>
      <c r="F6" s="57" t="n">
        <v>199</v>
      </c>
      <c r="G6" s="57">
        <f>IF($F6="","",$F6-$C6-$M6-$N6)</f>
        <v/>
      </c>
      <c r="H6" s="9">
        <f>IF($G6="","",$G6/$C6)</f>
        <v/>
      </c>
      <c r="I6" s="10" t="n">
        <v>20</v>
      </c>
      <c r="J6" s="55">
        <f>$C6/$I6</f>
        <v/>
      </c>
      <c r="K6" s="55">
        <f>IF($F6="","",$F6/$I6)</f>
        <v/>
      </c>
      <c r="L6" s="55">
        <f>IF($G6="","",$G6/$I6)</f>
        <v/>
      </c>
      <c r="M6" s="56">
        <f>IF($F6="","",$F6*(Paramètres!$B$5+Paramètres!$B$6))</f>
        <v/>
      </c>
      <c r="N6" s="55" t="n">
        <v>0</v>
      </c>
      <c r="O6" s="58" t="n">
        <v>45</v>
      </c>
      <c r="P6" s="58" t="n">
        <v>11.7</v>
      </c>
      <c r="Q6" s="12" t="inlineStr">
        <is>
          <t>ADN Lyon</t>
        </is>
      </c>
      <c r="R6" s="12" t="inlineStr">
        <is>
          <t>11/08/2026</t>
        </is>
      </c>
      <c r="S6" s="12" t="inlineStr">
        <is>
          <t>FB2026-6354</t>
        </is>
      </c>
      <c r="T6" s="12" t="inlineStr">
        <is>
          <t>388</t>
        </is>
      </c>
      <c r="U6" s="4" t="inlineStr">
        <is>
          <t>Leboncoin B2B</t>
        </is>
      </c>
      <c r="V6" s="4" t="inlineStr"/>
      <c r="W6" s="4" t="inlineStr">
        <is>
          <t>Février-mars</t>
        </is>
      </c>
      <c r="X6" s="4" t="inlineStr"/>
      <c r="Y6" s="4" t="n">
        <v>1</v>
      </c>
      <c r="Z6" s="57">
        <f>IF($G6="","",$G6/$Y6)</f>
        <v/>
      </c>
      <c r="AA6" s="4">
        <f>IF($Z6="","",IF($Z6&gt;=25,"atteint",TEXT(25-$Z6,"0.00")&amp;" € manquants"))</f>
        <v/>
      </c>
    </row>
    <row r="7">
      <c r="A7" s="4" t="inlineStr">
        <is>
          <t>Lot de 2 paires ADIDAS Predator Edge P.48 2/3 — neuves</t>
        </is>
      </c>
      <c r="B7" s="54" t="n">
        <v>37.8</v>
      </c>
      <c r="C7" s="55">
        <f>$B7+$Y7*Paramètres!$B$13</f>
        <v/>
      </c>
      <c r="D7" s="56">
        <f>$C7/(1-Paramètres!$B$5-Paramètres!$B$6)</f>
        <v/>
      </c>
      <c r="E7" s="55">
        <f>CEILING($D7*Paramètres!$B$24,1)</f>
        <v/>
      </c>
      <c r="F7" s="57" t="n">
        <v>178</v>
      </c>
      <c r="G7" s="57">
        <f>IF($F7="","",$F7-$C7-$M7-$N7)</f>
        <v/>
      </c>
      <c r="H7" s="9">
        <f>IF($G7="","",$G7/$C7)</f>
        <v/>
      </c>
      <c r="I7" s="10" t="n">
        <v>2</v>
      </c>
      <c r="J7" s="55">
        <f>$C7/$I7</f>
        <v/>
      </c>
      <c r="K7" s="55">
        <f>IF($F7="","",$F7/$I7)</f>
        <v/>
      </c>
      <c r="L7" s="55">
        <f>IF($G7="","",$G7/$I7)</f>
        <v/>
      </c>
      <c r="M7" s="56">
        <f>IF($F7="","",$F7*(Paramètres!$B$5+Paramètres!$B$6))</f>
        <v/>
      </c>
      <c r="N7" s="55" t="n">
        <v>0</v>
      </c>
      <c r="O7" s="58" t="n">
        <v>30</v>
      </c>
      <c r="P7" s="58" t="n">
        <v>7.8</v>
      </c>
      <c r="Q7" s="12" t="inlineStr">
        <is>
          <t>ADN Le Mans</t>
        </is>
      </c>
      <c r="R7" s="12" t="inlineStr">
        <is>
          <t>28/07/2026</t>
        </is>
      </c>
      <c r="S7" s="12" t="inlineStr">
        <is>
          <t>FB2026-43716</t>
        </is>
      </c>
      <c r="T7" s="12" t="inlineStr">
        <is>
          <t>357</t>
        </is>
      </c>
      <c r="U7" s="4" t="inlineStr">
        <is>
          <t>eBay + Leboncoin</t>
        </is>
      </c>
      <c r="V7" s="4" t="inlineStr"/>
      <c r="W7" s="4" t="inlineStr">
        <is>
          <t>Normal</t>
        </is>
      </c>
      <c r="X7" s="4" t="inlineStr"/>
      <c r="Y7" s="4" t="n">
        <v>2</v>
      </c>
      <c r="Z7" s="57">
        <f>IF($G7="","",$G7/$Y7)</f>
        <v/>
      </c>
      <c r="AA7" s="4">
        <f>IF($Z7="","",IF($Z7&gt;=25,"atteint",TEXT(25-$Z7,"0.00")&amp;" € manquants"))</f>
        <v/>
      </c>
    </row>
    <row r="8">
      <c r="A8" s="4" t="inlineStr">
        <is>
          <t>Demi-bottes FORMA Legacy Waterproof T.45 noir — neuves</t>
        </is>
      </c>
      <c r="B8" s="54" t="n">
        <v>63</v>
      </c>
      <c r="C8" s="55">
        <f>$B8+$Y8*Paramètres!$B$13</f>
        <v/>
      </c>
      <c r="D8" s="56">
        <f>$C8/(1-Paramètres!$B$5-Paramètres!$B$6-Paramètres!$B$7)</f>
        <v/>
      </c>
      <c r="E8" s="55">
        <f>CEILING($D8*Paramètres!$B$24,1)</f>
        <v/>
      </c>
      <c r="F8" s="57" t="n">
        <v>159</v>
      </c>
      <c r="G8" s="57">
        <f>IF($F8="","",$F8-$C8-$M8-$N8)</f>
        <v/>
      </c>
      <c r="H8" s="9">
        <f>IF($G8="","",$G8/$C8)</f>
        <v/>
      </c>
      <c r="I8" s="10" t="n">
        <v>1</v>
      </c>
      <c r="J8" s="55">
        <f>$C8/$I8</f>
        <v/>
      </c>
      <c r="K8" s="55">
        <f>IF($F8="","",$F8/$I8)</f>
        <v/>
      </c>
      <c r="L8" s="55">
        <f>IF($G8="","",$G8/$I8)</f>
        <v/>
      </c>
      <c r="M8" s="56">
        <f>IF($F8="","",$F8*(Paramètres!$B$5+Paramètres!$B$6))</f>
        <v/>
      </c>
      <c r="N8" s="55">
        <f>IF($F8="","",$F8*Paramètres!$B$7)</f>
        <v/>
      </c>
      <c r="O8" s="58" t="n">
        <v>50</v>
      </c>
      <c r="P8" s="58" t="n">
        <v>13</v>
      </c>
      <c r="Q8" s="12" t="inlineStr">
        <is>
          <t>ADN Le Mans</t>
        </is>
      </c>
      <c r="R8" s="12" t="inlineStr">
        <is>
          <t>10/08/2026</t>
        </is>
      </c>
      <c r="S8" s="12" t="inlineStr">
        <is>
          <t>FB2026-46058</t>
        </is>
      </c>
      <c r="T8" s="12" t="inlineStr">
        <is>
          <t>162</t>
        </is>
      </c>
      <c r="U8" s="4" t="inlineStr">
        <is>
          <t>Boutique + Leboncoin</t>
        </is>
      </c>
      <c r="V8" s="4" t="inlineStr"/>
      <c r="W8" s="4" t="inlineStr">
        <is>
          <t>Normal</t>
        </is>
      </c>
      <c r="X8" s="4" t="inlineStr"/>
      <c r="Y8" s="4" t="n">
        <v>1</v>
      </c>
      <c r="Z8" s="57">
        <f>IF($G8="","",$G8/$Y8)</f>
        <v/>
      </c>
      <c r="AA8" s="4">
        <f>IF($Z8="","",IF($Z8&gt;=25,"atteint",TEXT(25-$Z8,"0.00")&amp;" € manquants"))</f>
        <v/>
      </c>
    </row>
    <row r="9">
      <c r="A9" s="4" t="inlineStr">
        <is>
          <t>Lot de 4 gilets de flottaison MRS.ERTHA 3-6 ans — neuf</t>
        </is>
      </c>
      <c r="B9" s="54" t="n">
        <v>37.8</v>
      </c>
      <c r="C9" s="55">
        <f>$B9+$Y9*Paramètres!$B$13</f>
        <v/>
      </c>
      <c r="D9" s="56">
        <f>$C9/(1-Paramètres!$B$5-Paramètres!$B$6)</f>
        <v/>
      </c>
      <c r="E9" s="55">
        <f>CEILING($D9*Paramètres!$B$24,1)</f>
        <v/>
      </c>
      <c r="F9" s="57" t="n">
        <v>136</v>
      </c>
      <c r="G9" s="57">
        <f>IF($F9="","",$F9-$C9-$M9-$N9)</f>
        <v/>
      </c>
      <c r="H9" s="9">
        <f>IF($G9="","",$G9/$C9)</f>
        <v/>
      </c>
      <c r="I9" s="10" t="n">
        <v>4</v>
      </c>
      <c r="J9" s="55">
        <f>$C9/$I9</f>
        <v/>
      </c>
      <c r="K9" s="55">
        <f>IF($F9="","",$F9/$I9)</f>
        <v/>
      </c>
      <c r="L9" s="55">
        <f>IF($G9="","",$G9/$I9)</f>
        <v/>
      </c>
      <c r="M9" s="56">
        <f>IF($F9="","",$F9*(Paramètres!$B$5+Paramètres!$B$6))</f>
        <v/>
      </c>
      <c r="N9" s="55" t="n">
        <v>0</v>
      </c>
      <c r="O9" s="58" t="n">
        <v>30</v>
      </c>
      <c r="P9" s="58" t="n">
        <v>7.8</v>
      </c>
      <c r="Q9" s="12" t="inlineStr">
        <is>
          <t>ADN Le Mans</t>
        </is>
      </c>
      <c r="R9" s="12" t="inlineStr">
        <is>
          <t>28/07/2026</t>
        </is>
      </c>
      <c r="S9" s="12" t="inlineStr">
        <is>
          <t>FB2026-43717</t>
        </is>
      </c>
      <c r="T9" s="12" t="inlineStr">
        <is>
          <t>303</t>
        </is>
      </c>
      <c r="U9" s="4" t="inlineStr">
        <is>
          <t>Leboncoin + Vinted, 34 €/gilet</t>
        </is>
      </c>
      <c r="V9" s="4" t="inlineStr"/>
      <c r="W9" s="4" t="inlineStr">
        <is>
          <t>URGENT — saisonnier</t>
        </is>
      </c>
      <c r="X9" s="4" t="inlineStr"/>
      <c r="Y9" s="4" t="n">
        <v>4</v>
      </c>
      <c r="Z9" s="57">
        <f>IF($G9="","",$G9/$Y9)</f>
        <v/>
      </c>
      <c r="AA9" s="4">
        <f>IF($Z9="","",IF($Z9&gt;=25,"atteint",TEXT(25-$Z9,"0.00")&amp;" € manquants"))</f>
        <v/>
      </c>
    </row>
    <row r="10">
      <c r="A10" s="13" t="inlineStr">
        <is>
          <t>Lot de 12 paires de tongs HAVAIANAS fuchsia 35/36 — neuf</t>
        </is>
      </c>
      <c r="B10" s="59" t="n">
        <v>100.8</v>
      </c>
      <c r="C10" s="60">
        <f>$B10+$Y10*Paramètres!$B$13</f>
        <v/>
      </c>
      <c r="D10" s="61">
        <f>$C10/(1-Paramètres!$B$5-Paramètres!$B$6)</f>
        <v/>
      </c>
      <c r="E10" s="60">
        <f>CEILING($D10*Paramètres!$B$24,1)</f>
        <v/>
      </c>
      <c r="F10" s="62" t="n">
        <v>208</v>
      </c>
      <c r="G10" s="62">
        <f>IF($F10="","",$F10-$C10-$M10-$N10)</f>
        <v/>
      </c>
      <c r="H10" s="18">
        <f>IF($G10="","",$G10/$C10)</f>
        <v/>
      </c>
      <c r="I10" s="19" t="n">
        <v>12</v>
      </c>
      <c r="J10" s="60">
        <f>$C10/$I10</f>
        <v/>
      </c>
      <c r="K10" s="60">
        <f>IF($F10="","",$F10/$I10)</f>
        <v/>
      </c>
      <c r="L10" s="60">
        <f>IF($G10="","",$G10/$I10)</f>
        <v/>
      </c>
      <c r="M10" s="61">
        <f>IF($F10="","",$F10*(Paramètres!$B$5+Paramètres!$B$6))</f>
        <v/>
      </c>
      <c r="N10" s="60" t="n">
        <v>0</v>
      </c>
      <c r="O10" s="63" t="n">
        <v>80</v>
      </c>
      <c r="P10" s="63" t="n">
        <v>20.8</v>
      </c>
      <c r="Q10" s="21" t="inlineStr">
        <is>
          <t>ADN Lyon</t>
        </is>
      </c>
      <c r="R10" s="21" t="inlineStr">
        <is>
          <t>28/07/2026</t>
        </is>
      </c>
      <c r="S10" s="21" t="inlineStr">
        <is>
          <t>FB2026-5844</t>
        </is>
      </c>
      <c r="T10" s="21" t="inlineStr">
        <is>
          <t>120</t>
        </is>
      </c>
      <c r="U10" s="13" t="inlineStr">
        <is>
          <t>Vinted + Leboncoin, à l'unité</t>
        </is>
      </c>
      <c r="V10" s="13" t="inlineStr"/>
      <c r="W10" s="13" t="inlineStr">
        <is>
          <t>URGENT — 10 restent, monter à 18 €</t>
        </is>
      </c>
      <c r="X10" s="13" t="inlineStr">
        <is>
          <t>2 vendues à 14 € le 10/08</t>
        </is>
      </c>
      <c r="Y10" s="13" t="n">
        <v>12</v>
      </c>
      <c r="Z10" s="62">
        <f>IF($G10="","",$G10/$Y10)</f>
        <v/>
      </c>
      <c r="AA10" s="13">
        <f>IF($Z10="","",IF($Z10&gt;=25,"atteint",TEXT(25-$Z10,"0.00")&amp;" € manquants"))</f>
        <v/>
      </c>
    </row>
    <row r="11">
      <c r="A11" s="4" t="inlineStr">
        <is>
          <t>ELISABETTA FRANCHI robe asymétrique viscose T.46 IT — neuve</t>
        </is>
      </c>
      <c r="B11" s="54" t="n">
        <v>20.45</v>
      </c>
      <c r="C11" s="55">
        <f>$B11+$Y11*Paramètres!$B$13</f>
        <v/>
      </c>
      <c r="D11" s="56">
        <f>$C11/(1-Paramètres!$B$5-Paramètres!$B$6-Paramètres!$B$7)</f>
        <v/>
      </c>
      <c r="E11" s="55">
        <f>CEILING($D11*Paramètres!$B$24,1)</f>
        <v/>
      </c>
      <c r="F11" s="57" t="n">
        <v>99</v>
      </c>
      <c r="G11" s="57">
        <f>IF($F11="","",$F11-$C11-$M11-$N11)</f>
        <v/>
      </c>
      <c r="H11" s="9">
        <f>IF($G11="","",$G11/$C11)</f>
        <v/>
      </c>
      <c r="I11" s="10" t="n">
        <v>1</v>
      </c>
      <c r="J11" s="55">
        <f>$C11/$I11</f>
        <v/>
      </c>
      <c r="K11" s="55">
        <f>IF($F11="","",$F11/$I11)</f>
        <v/>
      </c>
      <c r="L11" s="55">
        <f>IF($G11="","",$G11/$I11)</f>
        <v/>
      </c>
      <c r="M11" s="56">
        <f>IF($F11="","",$F11*(Paramètres!$B$5+Paramètres!$B$6))</f>
        <v/>
      </c>
      <c r="N11" s="55">
        <f>IF($F11="","",$F11*Paramètres!$B$7)</f>
        <v/>
      </c>
      <c r="O11" s="58" t="n">
        <v>16</v>
      </c>
      <c r="P11" s="58" t="n">
        <v>4.16</v>
      </c>
      <c r="Q11" s="12" t="inlineStr">
        <is>
          <t>ADN Lyon</t>
        </is>
      </c>
      <c r="R11" s="12" t="inlineStr">
        <is>
          <t>03/08/2026</t>
        </is>
      </c>
      <c r="S11" s="12" t="inlineStr">
        <is>
          <t>FB2026-5996</t>
        </is>
      </c>
      <c r="T11" s="12" t="inlineStr">
        <is>
          <t>32</t>
        </is>
      </c>
      <c r="U11" s="4" t="inlineStr">
        <is>
          <t>Boutique</t>
        </is>
      </c>
      <c r="V11" s="4" t="inlineStr"/>
      <c r="W11" s="4" t="inlineStr">
        <is>
          <t>Normal</t>
        </is>
      </c>
      <c r="X11" s="4" t="inlineStr"/>
      <c r="Y11" s="4" t="n">
        <v>1</v>
      </c>
      <c r="Z11" s="57">
        <f>IF($G11="","",$G11/$Y11)</f>
        <v/>
      </c>
      <c r="AA11" s="4">
        <f>IF($Z11="","",IF($Z11&gt;=25,"atteint",TEXT(25-$Z11,"0.00")&amp;" € manquants"))</f>
        <v/>
      </c>
    </row>
    <row r="12">
      <c r="A12" s="4" t="inlineStr">
        <is>
          <t>Combinaison de pluie BMW Overall ProRain unisexe XL — neuve</t>
        </is>
      </c>
      <c r="B12" s="54" t="n">
        <v>68.56999999999999</v>
      </c>
      <c r="C12" s="55">
        <f>$B12+$Y12*Paramètres!$B$13</f>
        <v/>
      </c>
      <c r="D12" s="56">
        <f>$C12/(1-Paramètres!$B$5-Paramètres!$B$6)</f>
        <v/>
      </c>
      <c r="E12" s="55">
        <f>CEILING($D12*Paramètres!$B$24,1)</f>
        <v/>
      </c>
      <c r="F12" s="57" t="n">
        <v>139</v>
      </c>
      <c r="G12" s="57">
        <f>IF($F12="","",$F12-$C12-$M12-$N12)</f>
        <v/>
      </c>
      <c r="H12" s="9">
        <f>IF($G12="","",$G12/$C12)</f>
        <v/>
      </c>
      <c r="I12" s="10" t="n">
        <v>1</v>
      </c>
      <c r="J12" s="55">
        <f>$C12/$I12</f>
        <v/>
      </c>
      <c r="K12" s="55">
        <f>IF($F12="","",$F12/$I12)</f>
        <v/>
      </c>
      <c r="L12" s="55">
        <f>IF($G12="","",$G12/$I12)</f>
        <v/>
      </c>
      <c r="M12" s="56">
        <f>IF($F12="","",$F12*(Paramètres!$B$5+Paramètres!$B$6))</f>
        <v/>
      </c>
      <c r="N12" s="55" t="n">
        <v>0</v>
      </c>
      <c r="O12" s="58" t="n">
        <v>60</v>
      </c>
      <c r="P12" s="58" t="n">
        <v>8.57</v>
      </c>
      <c r="Q12" s="12" t="inlineStr">
        <is>
          <t>ADN Le Mans</t>
        </is>
      </c>
      <c r="R12" s="12" t="inlineStr">
        <is>
          <t>10/08/2026</t>
        </is>
      </c>
      <c r="S12" s="12" t="inlineStr">
        <is>
          <t>FB2026-46060</t>
        </is>
      </c>
      <c r="T12" s="12" t="inlineStr">
        <is>
          <t>1350</t>
        </is>
      </c>
      <c r="U12" s="4" t="inlineStr">
        <is>
          <t>Leboncoin + Vinted</t>
        </is>
      </c>
      <c r="V12" s="4" t="inlineStr"/>
      <c r="W12" s="4" t="inlineStr">
        <is>
          <t>Normal</t>
        </is>
      </c>
      <c r="X12" s="4" t="inlineStr"/>
      <c r="Y12" s="4" t="n">
        <v>1</v>
      </c>
      <c r="Z12" s="57">
        <f>IF($G12="","",$G12/$Y12)</f>
        <v/>
      </c>
      <c r="AA12" s="4">
        <f>IF($Z12="","",IF($Z12&gt;=25,"atteint",TEXT(25-$Z12,"0.00")&amp;" € manquants"))</f>
        <v/>
      </c>
    </row>
    <row r="13">
      <c r="A13" s="4" t="inlineStr">
        <is>
          <t>Chaussures HOGAN P.36 — traces d'essayage</t>
        </is>
      </c>
      <c r="B13" s="54" t="n">
        <v>12.6</v>
      </c>
      <c r="C13" s="55">
        <f>$B13+$Y13*Paramètres!$B$13</f>
        <v/>
      </c>
      <c r="D13" s="56">
        <f>$C13/(1-Paramètres!$B$5-Paramètres!$B$6-Paramètres!$B$7)</f>
        <v/>
      </c>
      <c r="E13" s="55">
        <f>CEILING($D13*Paramètres!$B$24,1)</f>
        <v/>
      </c>
      <c r="F13" s="57" t="n">
        <v>79</v>
      </c>
      <c r="G13" s="57">
        <f>IF($F13="","",$F13-$C13-$M13-$N13)</f>
        <v/>
      </c>
      <c r="H13" s="9">
        <f>IF($G13="","",$G13/$C13)</f>
        <v/>
      </c>
      <c r="I13" s="10" t="n">
        <v>1</v>
      </c>
      <c r="J13" s="55">
        <f>$C13/$I13</f>
        <v/>
      </c>
      <c r="K13" s="55">
        <f>IF($F13="","",$F13/$I13)</f>
        <v/>
      </c>
      <c r="L13" s="55">
        <f>IF($G13="","",$G13/$I13)</f>
        <v/>
      </c>
      <c r="M13" s="56">
        <f>IF($F13="","",$F13*(Paramètres!$B$5+Paramètres!$B$6))</f>
        <v/>
      </c>
      <c r="N13" s="55">
        <f>IF($F13="","",$F13*Paramètres!$B$7)</f>
        <v/>
      </c>
      <c r="O13" s="58" t="n">
        <v>10</v>
      </c>
      <c r="P13" s="58" t="n">
        <v>2.6</v>
      </c>
      <c r="Q13" s="12" t="inlineStr">
        <is>
          <t>ADN Le Mans</t>
        </is>
      </c>
      <c r="R13" s="12" t="inlineStr">
        <is>
          <t>28/07/2026</t>
        </is>
      </c>
      <c r="S13" s="12" t="inlineStr">
        <is>
          <t>FB2026-43716</t>
        </is>
      </c>
      <c r="T13" s="12" t="inlineStr">
        <is>
          <t>191</t>
        </is>
      </c>
      <c r="U13" s="4" t="inlineStr">
        <is>
          <t>Boutique</t>
        </is>
      </c>
      <c r="V13" s="4" t="inlineStr"/>
      <c r="W13" s="4" t="inlineStr">
        <is>
          <t>Normal</t>
        </is>
      </c>
      <c r="X13" s="4" t="inlineStr"/>
      <c r="Y13" s="4" t="n">
        <v>1</v>
      </c>
      <c r="Z13" s="57">
        <f>IF($G13="","",$G13/$Y13)</f>
        <v/>
      </c>
      <c r="AA13" s="4">
        <f>IF($Z13="","",IF($Z13&gt;=25,"atteint",TEXT(25-$Z13,"0.00")&amp;" € manquants"))</f>
        <v/>
      </c>
    </row>
    <row r="14">
      <c r="A14" s="4" t="inlineStr">
        <is>
          <t>Jupe midi SONIA RYKIEL T.34 — neuve</t>
        </is>
      </c>
      <c r="B14" s="54" t="n">
        <v>37.8</v>
      </c>
      <c r="C14" s="55">
        <f>$B14+$Y14*Paramètres!$B$13</f>
        <v/>
      </c>
      <c r="D14" s="56">
        <f>$C14/(1-Paramètres!$B$5-Paramètres!$B$6-Paramètres!$B$7)</f>
        <v/>
      </c>
      <c r="E14" s="55">
        <f>CEILING($D14*Paramètres!$B$24,1)</f>
        <v/>
      </c>
      <c r="F14" s="57" t="n">
        <v>99</v>
      </c>
      <c r="G14" s="57">
        <f>IF($F14="","",$F14-$C14-$M14-$N14)</f>
        <v/>
      </c>
      <c r="H14" s="9">
        <f>IF($G14="","",$G14/$C14)</f>
        <v/>
      </c>
      <c r="I14" s="10" t="n">
        <v>1</v>
      </c>
      <c r="J14" s="55">
        <f>$C14/$I14</f>
        <v/>
      </c>
      <c r="K14" s="55">
        <f>IF($F14="","",$F14/$I14)</f>
        <v/>
      </c>
      <c r="L14" s="55">
        <f>IF($G14="","",$G14/$I14)</f>
        <v/>
      </c>
      <c r="M14" s="56">
        <f>IF($F14="","",$F14*(Paramètres!$B$5+Paramètres!$B$6))</f>
        <v/>
      </c>
      <c r="N14" s="55">
        <f>IF($F14="","",$F14*Paramètres!$B$7)</f>
        <v/>
      </c>
      <c r="O14" s="58" t="n">
        <v>30</v>
      </c>
      <c r="P14" s="58" t="n">
        <v>7.8</v>
      </c>
      <c r="Q14" s="12" t="inlineStr">
        <is>
          <t>ADN Le Mans</t>
        </is>
      </c>
      <c r="R14" s="12" t="inlineStr">
        <is>
          <t>28/07/2026</t>
        </is>
      </c>
      <c r="S14" s="12" t="inlineStr">
        <is>
          <t>FB2026-43716</t>
        </is>
      </c>
      <c r="T14" s="12" t="inlineStr">
        <is>
          <t>417</t>
        </is>
      </c>
      <c r="U14" s="4" t="inlineStr">
        <is>
          <t>Boutique</t>
        </is>
      </c>
      <c r="V14" s="4" t="inlineStr"/>
      <c r="W14" s="4" t="inlineStr">
        <is>
          <t>Normal</t>
        </is>
      </c>
      <c r="X14" s="4" t="inlineStr"/>
      <c r="Y14" s="4" t="n">
        <v>1</v>
      </c>
      <c r="Z14" s="57">
        <f>IF($G14="","",$G14/$Y14)</f>
        <v/>
      </c>
      <c r="AA14" s="4">
        <f>IF($Z14="","",IF($Z14&gt;=25,"atteint",TEXT(25-$Z14,"0.00")&amp;" € manquants"))</f>
        <v/>
      </c>
    </row>
    <row r="15">
      <c r="A15" s="4" t="inlineStr">
        <is>
          <t>Robe SANDRO T.40 — neuve</t>
        </is>
      </c>
      <c r="B15" s="54" t="n">
        <v>37.8</v>
      </c>
      <c r="C15" s="55">
        <f>$B15+$Y15*Paramètres!$B$13</f>
        <v/>
      </c>
      <c r="D15" s="56">
        <f>$C15/(1-Paramètres!$B$5-Paramètres!$B$6-Paramètres!$B$7)</f>
        <v/>
      </c>
      <c r="E15" s="55">
        <f>CEILING($D15*Paramètres!$B$24,1)</f>
        <v/>
      </c>
      <c r="F15" s="57" t="n">
        <v>89</v>
      </c>
      <c r="G15" s="57">
        <f>IF($F15="","",$F15-$C15-$M15-$N15)</f>
        <v/>
      </c>
      <c r="H15" s="9">
        <f>IF($G15="","",$G15/$C15)</f>
        <v/>
      </c>
      <c r="I15" s="10" t="n">
        <v>1</v>
      </c>
      <c r="J15" s="55">
        <f>$C15/$I15</f>
        <v/>
      </c>
      <c r="K15" s="55">
        <f>IF($F15="","",$F15/$I15)</f>
        <v/>
      </c>
      <c r="L15" s="55">
        <f>IF($G15="","",$G15/$I15)</f>
        <v/>
      </c>
      <c r="M15" s="56">
        <f>IF($F15="","",$F15*(Paramètres!$B$5+Paramètres!$B$6))</f>
        <v/>
      </c>
      <c r="N15" s="55">
        <f>IF($F15="","",$F15*Paramètres!$B$7)</f>
        <v/>
      </c>
      <c r="O15" s="58" t="n">
        <v>30</v>
      </c>
      <c r="P15" s="58" t="n">
        <v>7.8</v>
      </c>
      <c r="Q15" s="12" t="inlineStr">
        <is>
          <t>ADN Le Mans</t>
        </is>
      </c>
      <c r="R15" s="12" t="inlineStr">
        <is>
          <t>28/07/2026</t>
        </is>
      </c>
      <c r="S15" s="12" t="inlineStr">
        <is>
          <t>FB2026-43716</t>
        </is>
      </c>
      <c r="T15" s="12" t="inlineStr">
        <is>
          <t>7</t>
        </is>
      </c>
      <c r="U15" s="4" t="inlineStr">
        <is>
          <t>Boutique</t>
        </is>
      </c>
      <c r="V15" s="4" t="inlineStr"/>
      <c r="W15" s="4" t="inlineStr">
        <is>
          <t>Normal</t>
        </is>
      </c>
      <c r="X15" s="4" t="inlineStr"/>
      <c r="Y15" s="4" t="n">
        <v>1</v>
      </c>
      <c r="Z15" s="57">
        <f>IF($G15="","",$G15/$Y15)</f>
        <v/>
      </c>
      <c r="AA15" s="4">
        <f>IF($Z15="","",IF($Z15&gt;=25,"atteint",TEXT(25-$Z15,"0.00")&amp;" € manquants"))</f>
        <v/>
      </c>
    </row>
    <row r="16">
      <c r="A16" s="4" t="inlineStr">
        <is>
          <t>Lot de 6 vêtements femme MORGAN T.40 et L — neuf</t>
        </is>
      </c>
      <c r="B16" s="54" t="n">
        <v>37.8</v>
      </c>
      <c r="C16" s="55">
        <f>$B16+$Y16*Paramètres!$B$13</f>
        <v/>
      </c>
      <c r="D16" s="56">
        <f>$C16/(1-Paramètres!$B$5-Paramètres!$B$6)</f>
        <v/>
      </c>
      <c r="E16" s="55">
        <f>CEILING($D16*Paramètres!$B$24,1)</f>
        <v/>
      </c>
      <c r="F16" s="57" t="n">
        <v>98</v>
      </c>
      <c r="G16" s="57">
        <f>IF($F16="","",$F16-$C16-$M16-$N16)</f>
        <v/>
      </c>
      <c r="H16" s="9">
        <f>IF($G16="","",$G16/$C16)</f>
        <v/>
      </c>
      <c r="I16" s="10" t="n">
        <v>6</v>
      </c>
      <c r="J16" s="55">
        <f>$C16/$I16</f>
        <v/>
      </c>
      <c r="K16" s="55">
        <f>IF($F16="","",$F16/$I16)</f>
        <v/>
      </c>
      <c r="L16" s="55">
        <f>IF($G16="","",$G16/$I16)</f>
        <v/>
      </c>
      <c r="M16" s="56">
        <f>IF($F16="","",$F16*(Paramètres!$B$5+Paramètres!$B$6))</f>
        <v/>
      </c>
      <c r="N16" s="55" t="n">
        <v>0</v>
      </c>
      <c r="O16" s="58" t="n">
        <v>30</v>
      </c>
      <c r="P16" s="58" t="n">
        <v>7.8</v>
      </c>
      <c r="Q16" s="12" t="inlineStr">
        <is>
          <t>ADN Le Mans</t>
        </is>
      </c>
      <c r="R16" s="12" t="inlineStr">
        <is>
          <t>10/08/2026</t>
        </is>
      </c>
      <c r="S16" s="12" t="inlineStr">
        <is>
          <t>FB2026-46056</t>
        </is>
      </c>
      <c r="T16" s="12" t="inlineStr">
        <is>
          <t>279</t>
        </is>
      </c>
      <c r="U16" s="4" t="inlineStr">
        <is>
          <t>Leboncoin + eBay, à l'unité</t>
        </is>
      </c>
      <c r="V16" s="4" t="inlineStr"/>
      <c r="W16" s="4" t="inlineStr">
        <is>
          <t>Normal</t>
        </is>
      </c>
      <c r="X16" s="4" t="inlineStr"/>
      <c r="Y16" s="4" t="n">
        <v>6</v>
      </c>
      <c r="Z16" s="57">
        <f>IF($G16="","",$G16/$Y16)</f>
        <v/>
      </c>
      <c r="AA16" s="4">
        <f>IF($Z16="","",IF($Z16&gt;=25,"atteint",TEXT(25-$Z16,"0.00")&amp;" € manquants"))</f>
        <v/>
      </c>
    </row>
    <row r="17">
      <c r="A17" s="4" t="inlineStr">
        <is>
          <t>ADIDAS Yeezy 700 V3 Mono Safflower T.38 — occasion</t>
        </is>
      </c>
      <c r="B17" s="54" t="n">
        <v>63</v>
      </c>
      <c r="C17" s="55">
        <f>$B17+$Y17*Paramètres!$B$13</f>
        <v/>
      </c>
      <c r="D17" s="56">
        <f>$C17/(1-Paramètres!$B$5-Paramètres!$B$6)</f>
        <v/>
      </c>
      <c r="E17" s="55">
        <f>CEILING($D17*Paramètres!$B$24,1)</f>
        <v/>
      </c>
      <c r="F17" s="57" t="n">
        <v>105</v>
      </c>
      <c r="G17" s="57">
        <f>IF($F17="","",$F17-$C17-$M17-$N17)</f>
        <v/>
      </c>
      <c r="H17" s="9">
        <f>IF($G17="","",$G17/$C17)</f>
        <v/>
      </c>
      <c r="I17" s="10" t="n">
        <v>1</v>
      </c>
      <c r="J17" s="55">
        <f>$C17/$I17</f>
        <v/>
      </c>
      <c r="K17" s="55">
        <f>IF($F17="","",$F17/$I17)</f>
        <v/>
      </c>
      <c r="L17" s="55">
        <f>IF($G17="","",$G17/$I17)</f>
        <v/>
      </c>
      <c r="M17" s="56">
        <f>IF($F17="","",$F17*(Paramètres!$B$5+Paramètres!$B$6))</f>
        <v/>
      </c>
      <c r="N17" s="55" t="n">
        <v>0</v>
      </c>
      <c r="O17" s="58" t="n">
        <v>50</v>
      </c>
      <c r="P17" s="58" t="n">
        <v>13</v>
      </c>
      <c r="Q17" s="12" t="inlineStr">
        <is>
          <t>ADN Le Mans</t>
        </is>
      </c>
      <c r="R17" s="12" t="inlineStr">
        <is>
          <t>10/08/2026</t>
        </is>
      </c>
      <c r="S17" s="12" t="inlineStr">
        <is>
          <t>FB2026-46056</t>
        </is>
      </c>
      <c r="T17" s="12" t="inlineStr">
        <is>
          <t>8</t>
        </is>
      </c>
      <c r="U17" s="4" t="inlineStr">
        <is>
          <t>Vinted, authentification</t>
        </is>
      </c>
      <c r="V17" s="4" t="inlineStr"/>
      <c r="W17" s="4" t="inlineStr">
        <is>
          <t>Après authentification</t>
        </is>
      </c>
      <c r="X17" s="4" t="inlineStr"/>
      <c r="Y17" s="4" t="n">
        <v>1</v>
      </c>
      <c r="Z17" s="57">
        <f>IF($G17="","",$G17/$Y17)</f>
        <v/>
      </c>
      <c r="AA17" s="4">
        <f>IF($Z17="","",IF($Z17&gt;=25,"atteint",TEXT(25-$Z17,"0.00")&amp;" € manquants"))</f>
        <v/>
      </c>
    </row>
    <row r="18">
      <c r="A18" s="13" t="inlineStr">
        <is>
          <t>T-shirt BALENCIAGA T.2 — neuf</t>
        </is>
      </c>
      <c r="B18" s="59" t="n">
        <v>113.4</v>
      </c>
      <c r="C18" s="60">
        <f>$B18+$Y18*Paramètres!$B$13</f>
        <v/>
      </c>
      <c r="D18" s="61">
        <f>$C18/(1-Paramètres!$B$5-Paramètres!$B$6)</f>
        <v/>
      </c>
      <c r="E18" s="60">
        <f>CEILING($D18*Paramètres!$B$24,1)</f>
        <v/>
      </c>
      <c r="F18" s="62" t="n">
        <v>155</v>
      </c>
      <c r="G18" s="62">
        <f>IF($F18="","",$F18-$C18-$M18-$N18)</f>
        <v/>
      </c>
      <c r="H18" s="18">
        <f>IF($G18="","",$G18/$C18)</f>
        <v/>
      </c>
      <c r="I18" s="19" t="n">
        <v>1</v>
      </c>
      <c r="J18" s="60">
        <f>$C18/$I18</f>
        <v/>
      </c>
      <c r="K18" s="60">
        <f>IF($F18="","",$F18/$I18)</f>
        <v/>
      </c>
      <c r="L18" s="60">
        <f>IF($G18="","",$G18/$I18)</f>
        <v/>
      </c>
      <c r="M18" s="61">
        <f>IF($F18="","",$F18*(Paramètres!$B$5+Paramètres!$B$6))</f>
        <v/>
      </c>
      <c r="N18" s="60" t="n">
        <v>0</v>
      </c>
      <c r="O18" s="63" t="n">
        <v>90</v>
      </c>
      <c r="P18" s="63" t="n">
        <v>23.4</v>
      </c>
      <c r="Q18" s="21" t="inlineStr">
        <is>
          <t>ADN Le Mans</t>
        </is>
      </c>
      <c r="R18" s="21" t="inlineStr">
        <is>
          <t>03/08/2026</t>
        </is>
      </c>
      <c r="S18" s="21" t="inlineStr">
        <is>
          <t>FB2026-44194</t>
        </is>
      </c>
      <c r="T18" s="21" t="inlineStr">
        <is>
          <t>9</t>
        </is>
      </c>
      <c r="U18" s="13" t="inlineStr">
        <is>
          <t>vendu</t>
        </is>
      </c>
      <c r="V18" s="13" t="inlineStr"/>
      <c r="W18" s="13" t="inlineStr">
        <is>
          <t>VENDU</t>
        </is>
      </c>
      <c r="X18" s="13" t="inlineStr">
        <is>
          <t>VENDU</t>
        </is>
      </c>
      <c r="Y18" s="13" t="n">
        <v>1</v>
      </c>
      <c r="Z18" s="62">
        <f>IF($G18="","",$G18/$Y18)</f>
        <v/>
      </c>
      <c r="AA18" s="13">
        <f>IF($Z18="","",IF($Z18&gt;=25,"atteint",TEXT(25-$Z18,"0.00")&amp;" € manquants"))</f>
        <v/>
      </c>
    </row>
    <row r="19">
      <c r="A19" s="4" t="inlineStr">
        <is>
          <t>ADIDAS x STELLA McCARTNEY ASMC Ultraboost 21 P.36 — modèle d'exposition</t>
        </is>
      </c>
      <c r="B19" s="54" t="n">
        <v>37.8</v>
      </c>
      <c r="C19" s="55">
        <f>$B19+$Y19*Paramètres!$B$13</f>
        <v/>
      </c>
      <c r="D19" s="56">
        <f>$C19/(1-Paramètres!$B$5-Paramètres!$B$6-Paramètres!$B$7)</f>
        <v/>
      </c>
      <c r="E19" s="55">
        <f>CEILING($D19*Paramètres!$B$24,1)</f>
        <v/>
      </c>
      <c r="F19" s="57" t="n">
        <v>79</v>
      </c>
      <c r="G19" s="57">
        <f>IF($F19="","",$F19-$C19-$M19-$N19)</f>
        <v/>
      </c>
      <c r="H19" s="9">
        <f>IF($G19="","",$G19/$C19)</f>
        <v/>
      </c>
      <c r="I19" s="10" t="n">
        <v>1</v>
      </c>
      <c r="J19" s="55">
        <f>$C19/$I19</f>
        <v/>
      </c>
      <c r="K19" s="55">
        <f>IF($F19="","",$F19/$I19)</f>
        <v/>
      </c>
      <c r="L19" s="55">
        <f>IF($G19="","",$G19/$I19)</f>
        <v/>
      </c>
      <c r="M19" s="56">
        <f>IF($F19="","",$F19*(Paramètres!$B$5+Paramètres!$B$6))</f>
        <v/>
      </c>
      <c r="N19" s="55">
        <f>IF($F19="","",$F19*Paramètres!$B$7)</f>
        <v/>
      </c>
      <c r="O19" s="58" t="n">
        <v>30</v>
      </c>
      <c r="P19" s="58" t="n">
        <v>7.8</v>
      </c>
      <c r="Q19" s="12" t="inlineStr">
        <is>
          <t>ADN Le Mans</t>
        </is>
      </c>
      <c r="R19" s="12" t="inlineStr">
        <is>
          <t>28/07/2026</t>
        </is>
      </c>
      <c r="S19" s="12" t="inlineStr">
        <is>
          <t>FB2026-43716</t>
        </is>
      </c>
      <c r="T19" s="12" t="inlineStr">
        <is>
          <t>434</t>
        </is>
      </c>
      <c r="U19" s="4" t="inlineStr">
        <is>
          <t>Boutique</t>
        </is>
      </c>
      <c r="V19" s="4" t="inlineStr"/>
      <c r="W19" s="4" t="inlineStr">
        <is>
          <t>Normal</t>
        </is>
      </c>
      <c r="X19" s="4" t="inlineStr"/>
      <c r="Y19" s="4" t="n">
        <v>1</v>
      </c>
      <c r="Z19" s="57">
        <f>IF($G19="","",$G19/$Y19)</f>
        <v/>
      </c>
      <c r="AA19" s="4">
        <f>IF($Z19="","",IF($Z19&gt;=25,"atteint",TEXT(25-$Z19,"0.00")&amp;" € manquants"))</f>
        <v/>
      </c>
    </row>
    <row r="20">
      <c r="A20" s="4" t="inlineStr">
        <is>
          <t>Blazer noir KARL LAGERFELD T.36 FR — neuf avec étiquette</t>
        </is>
      </c>
      <c r="B20" s="54" t="n">
        <v>50.4</v>
      </c>
      <c r="C20" s="55">
        <f>$B20+$Y20*Paramètres!$B$13</f>
        <v/>
      </c>
      <c r="D20" s="56">
        <f>$C20/(1-Paramètres!$B$5-Paramètres!$B$6-Paramètres!$B$7)</f>
        <v/>
      </c>
      <c r="E20" s="55">
        <f>CEILING($D20*Paramètres!$B$24,1)</f>
        <v/>
      </c>
      <c r="F20" s="57" t="n">
        <v>91</v>
      </c>
      <c r="G20" s="57">
        <f>IF($F20="","",$F20-$C20-$M20-$N20)</f>
        <v/>
      </c>
      <c r="H20" s="9">
        <f>IF($G20="","",$G20/$C20)</f>
        <v/>
      </c>
      <c r="I20" s="10" t="n">
        <v>1</v>
      </c>
      <c r="J20" s="55">
        <f>$C20/$I20</f>
        <v/>
      </c>
      <c r="K20" s="55">
        <f>IF($F20="","",$F20/$I20)</f>
        <v/>
      </c>
      <c r="L20" s="55">
        <f>IF($G20="","",$G20/$I20)</f>
        <v/>
      </c>
      <c r="M20" s="56">
        <f>IF($F20="","",$F20*(Paramètres!$B$5+Paramètres!$B$6))</f>
        <v/>
      </c>
      <c r="N20" s="55">
        <f>IF($F20="","",$F20*Paramètres!$B$7)</f>
        <v/>
      </c>
      <c r="O20" s="58" t="n">
        <v>40</v>
      </c>
      <c r="P20" s="58" t="n">
        <v>10.4</v>
      </c>
      <c r="Q20" s="12" t="inlineStr">
        <is>
          <t>ADN Le Mans</t>
        </is>
      </c>
      <c r="R20" s="12" t="inlineStr">
        <is>
          <t>03/08/2026</t>
        </is>
      </c>
      <c r="S20" s="12" t="inlineStr">
        <is>
          <t>FB2026-44194</t>
        </is>
      </c>
      <c r="T20" s="12" t="inlineStr">
        <is>
          <t>229</t>
        </is>
      </c>
      <c r="U20" s="4" t="inlineStr">
        <is>
          <t>Boutique</t>
        </is>
      </c>
      <c r="V20" s="4" t="inlineStr"/>
      <c r="W20" s="4" t="inlineStr">
        <is>
          <t>Normal</t>
        </is>
      </c>
      <c r="X20" s="4" t="inlineStr"/>
      <c r="Y20" s="4" t="n">
        <v>1</v>
      </c>
      <c r="Z20" s="57">
        <f>IF($G20="","",$G20/$Y20)</f>
        <v/>
      </c>
      <c r="AA20" s="4">
        <f>IF($Z20="","",IF($Z20&gt;=25,"atteint",TEXT(25-$Z20,"0.00")&amp;" € manquants"))</f>
        <v/>
      </c>
    </row>
    <row r="21">
      <c r="A21" s="4" t="inlineStr">
        <is>
          <t>PHILIPP PLEIN SPORT baskets montantes P.40 — neuves</t>
        </is>
      </c>
      <c r="B21" s="54" t="n">
        <v>57.51</v>
      </c>
      <c r="C21" s="55">
        <f>$B21+$Y21*Paramètres!$B$13</f>
        <v/>
      </c>
      <c r="D21" s="56">
        <f>$C21/(1-Paramètres!$B$5-Paramètres!$B$6)</f>
        <v/>
      </c>
      <c r="E21" s="55">
        <f>CEILING($D21*Paramètres!$B$24,1)</f>
        <v/>
      </c>
      <c r="F21" s="57" t="n">
        <v>95</v>
      </c>
      <c r="G21" s="57">
        <f>IF($F21="","",$F21-$C21-$M21-$N21)</f>
        <v/>
      </c>
      <c r="H21" s="9">
        <f>IF($G21="","",$G21/$C21)</f>
        <v/>
      </c>
      <c r="I21" s="10" t="n">
        <v>1</v>
      </c>
      <c r="J21" s="55">
        <f>$C21/$I21</f>
        <v/>
      </c>
      <c r="K21" s="55">
        <f>IF($F21="","",$F21/$I21)</f>
        <v/>
      </c>
      <c r="L21" s="55">
        <f>IF($G21="","",$G21/$I21)</f>
        <v/>
      </c>
      <c r="M21" s="56">
        <f>IF($F21="","",$F21*(Paramètres!$B$5+Paramètres!$B$6))</f>
        <v/>
      </c>
      <c r="N21" s="55" t="n">
        <v>0</v>
      </c>
      <c r="O21" s="58" t="n">
        <v>45</v>
      </c>
      <c r="P21" s="58" t="n">
        <v>11.7</v>
      </c>
      <c r="Q21" s="12" t="inlineStr">
        <is>
          <t>ADN Lyon</t>
        </is>
      </c>
      <c r="R21" s="12" t="inlineStr">
        <is>
          <t>03/08/2026</t>
        </is>
      </c>
      <c r="S21" s="12" t="inlineStr">
        <is>
          <t>FB2026-6023</t>
        </is>
      </c>
      <c r="T21" s="12" t="inlineStr">
        <is>
          <t>159</t>
        </is>
      </c>
      <c r="U21" s="4" t="inlineStr">
        <is>
          <t>Leboncoin + eBay</t>
        </is>
      </c>
      <c r="V21" s="4" t="inlineStr"/>
      <c r="W21" s="4" t="inlineStr">
        <is>
          <t>Plafonné par le marché</t>
        </is>
      </c>
      <c r="X21" s="4" t="inlineStr"/>
      <c r="Y21" s="4" t="n">
        <v>1</v>
      </c>
      <c r="Z21" s="57">
        <f>IF($G21="","",$G21/$Y21)</f>
        <v/>
      </c>
      <c r="AA21" s="4">
        <f>IF($Z21="","",IF($Z21&gt;=25,"atteint",TEXT(25-$Z21,"0.00")&amp;" € manquants"))</f>
        <v/>
      </c>
    </row>
    <row r="22">
      <c r="A22" s="4" t="inlineStr">
        <is>
          <t>CHIARA FERRAGNI robe bustier courte T.M — neuve</t>
        </is>
      </c>
      <c r="B22" s="54" t="n">
        <v>31.95</v>
      </c>
      <c r="C22" s="55">
        <f>$B22+$Y22*Paramètres!$B$13</f>
        <v/>
      </c>
      <c r="D22" s="56">
        <f>$C22/(1-Paramètres!$B$5-Paramètres!$B$6-Paramètres!$B$7)</f>
        <v/>
      </c>
      <c r="E22" s="55">
        <f>CEILING($D22*Paramètres!$B$24,1)</f>
        <v/>
      </c>
      <c r="F22" s="57" t="n">
        <v>69</v>
      </c>
      <c r="G22" s="57">
        <f>IF($F22="","",$F22-$C22-$M22-$N22)</f>
        <v/>
      </c>
      <c r="H22" s="9">
        <f>IF($G22="","",$G22/$C22)</f>
        <v/>
      </c>
      <c r="I22" s="10" t="n">
        <v>1</v>
      </c>
      <c r="J22" s="55">
        <f>$C22/$I22</f>
        <v/>
      </c>
      <c r="K22" s="55">
        <f>IF($F22="","",$F22/$I22)</f>
        <v/>
      </c>
      <c r="L22" s="55">
        <f>IF($G22="","",$G22/$I22)</f>
        <v/>
      </c>
      <c r="M22" s="56">
        <f>IF($F22="","",$F22*(Paramètres!$B$5+Paramètres!$B$6))</f>
        <v/>
      </c>
      <c r="N22" s="55">
        <f>IF($F22="","",$F22*Paramètres!$B$7)</f>
        <v/>
      </c>
      <c r="O22" s="58" t="n">
        <v>25</v>
      </c>
      <c r="P22" s="58" t="n">
        <v>6.5</v>
      </c>
      <c r="Q22" s="12" t="inlineStr">
        <is>
          <t>ADN Lyon</t>
        </is>
      </c>
      <c r="R22" s="12" t="inlineStr">
        <is>
          <t>03/08/2026</t>
        </is>
      </c>
      <c r="S22" s="12" t="inlineStr">
        <is>
          <t>FB2026-5996</t>
        </is>
      </c>
      <c r="T22" s="12" t="inlineStr">
        <is>
          <t>123</t>
        </is>
      </c>
      <c r="U22" s="4" t="inlineStr">
        <is>
          <t>Boutique + Leboncoin</t>
        </is>
      </c>
      <c r="V22" s="4" t="inlineStr"/>
      <c r="W22" s="4" t="inlineStr">
        <is>
          <t>Normal</t>
        </is>
      </c>
      <c r="X22" s="4" t="inlineStr"/>
      <c r="Y22" s="4" t="n">
        <v>1</v>
      </c>
      <c r="Z22" s="57">
        <f>IF($G22="","",$G22/$Y22)</f>
        <v/>
      </c>
      <c r="AA22" s="4">
        <f>IF($Z22="","",IF($Z22&gt;=25,"atteint",TEXT(25-$Z22,"0.00")&amp;" € manquants"))</f>
        <v/>
      </c>
    </row>
    <row r="23">
      <c r="A23" s="4" t="inlineStr">
        <is>
          <t>PIER ANTONIO GASPARI robe droite bleu marine T.42 — neuve</t>
        </is>
      </c>
      <c r="B23" s="54" t="n">
        <v>25.56</v>
      </c>
      <c r="C23" s="55">
        <f>$B23+$Y23*Paramètres!$B$13</f>
        <v/>
      </c>
      <c r="D23" s="56">
        <f>$C23/(1-Paramètres!$B$5-Paramètres!$B$6-Paramètres!$B$7)</f>
        <v/>
      </c>
      <c r="E23" s="55">
        <f>CEILING($D23*Paramètres!$B$24,1)</f>
        <v/>
      </c>
      <c r="F23" s="57" t="n">
        <v>62</v>
      </c>
      <c r="G23" s="57">
        <f>IF($F23="","",$F23-$C23-$M23-$N23)</f>
        <v/>
      </c>
      <c r="H23" s="9">
        <f>IF($G23="","",$G23/$C23)</f>
        <v/>
      </c>
      <c r="I23" s="10" t="n">
        <v>1</v>
      </c>
      <c r="J23" s="55">
        <f>$C23/$I23</f>
        <v/>
      </c>
      <c r="K23" s="55">
        <f>IF($F23="","",$F23/$I23)</f>
        <v/>
      </c>
      <c r="L23" s="55">
        <f>IF($G23="","",$G23/$I23)</f>
        <v/>
      </c>
      <c r="M23" s="56">
        <f>IF($F23="","",$F23*(Paramètres!$B$5+Paramètres!$B$6))</f>
        <v/>
      </c>
      <c r="N23" s="55">
        <f>IF($F23="","",$F23*Paramètres!$B$7)</f>
        <v/>
      </c>
      <c r="O23" s="58" t="n">
        <v>20</v>
      </c>
      <c r="P23" s="58" t="n">
        <v>5.2</v>
      </c>
      <c r="Q23" s="12" t="inlineStr">
        <is>
          <t>ADN Lyon</t>
        </is>
      </c>
      <c r="R23" s="12" t="inlineStr">
        <is>
          <t>03/08/2026</t>
        </is>
      </c>
      <c r="S23" s="12" t="inlineStr">
        <is>
          <t>FB2026-5996</t>
        </is>
      </c>
      <c r="T23" s="12" t="inlineStr">
        <is>
          <t>29</t>
        </is>
      </c>
      <c r="U23" s="4" t="inlineStr">
        <is>
          <t>Boutique + Leboncoin</t>
        </is>
      </c>
      <c r="V23" s="4" t="inlineStr"/>
      <c r="W23" s="4" t="inlineStr">
        <is>
          <t>Normal</t>
        </is>
      </c>
      <c r="X23" s="4" t="inlineStr"/>
      <c r="Y23" s="4" t="n">
        <v>1</v>
      </c>
      <c r="Z23" s="57">
        <f>IF($G23="","",$G23/$Y23)</f>
        <v/>
      </c>
      <c r="AA23" s="4">
        <f>IF($Z23="","",IF($Z23&gt;=25,"atteint",TEXT(25-$Z23,"0.00")&amp;" € manquants"))</f>
        <v/>
      </c>
    </row>
    <row r="24">
      <c r="A24" s="22" t="inlineStr">
        <is>
          <t>Lot de 4 toupies BEYBLADE HASBRO</t>
        </is>
      </c>
      <c r="B24" s="64" t="n">
        <v>19.17</v>
      </c>
      <c r="C24" s="65">
        <f>$B24+$Y24*Paramètres!$B$13</f>
        <v/>
      </c>
      <c r="D24" s="66">
        <f>$C24/(1-Paramètres!$B$5-Paramètres!$B$6)</f>
        <v/>
      </c>
      <c r="E24" s="65">
        <f>CEILING($D24*Paramètres!$B$24,1)</f>
        <v/>
      </c>
      <c r="F24" s="67" t="n">
        <v>55</v>
      </c>
      <c r="G24" s="67">
        <f>IF($F24="","",$F24-$C24-$M24-$N24)</f>
        <v/>
      </c>
      <c r="H24" s="27">
        <f>IF($G24="","",$G24/$C24)</f>
        <v/>
      </c>
      <c r="I24" s="28" t="n">
        <v>4</v>
      </c>
      <c r="J24" s="65">
        <f>$C24/$I24</f>
        <v/>
      </c>
      <c r="K24" s="65">
        <f>IF($F24="","",$F24/$I24)</f>
        <v/>
      </c>
      <c r="L24" s="65">
        <f>IF($G24="","",$G24/$I24)</f>
        <v/>
      </c>
      <c r="M24" s="66">
        <f>IF($F24="","",$F24*(Paramètres!$B$5+Paramètres!$B$6))</f>
        <v/>
      </c>
      <c r="N24" s="65" t="n">
        <v>0</v>
      </c>
      <c r="O24" s="68" t="n">
        <v>15</v>
      </c>
      <c r="P24" s="68" t="n">
        <v>3.9</v>
      </c>
      <c r="Q24" s="30" t="inlineStr">
        <is>
          <t>ADN Le Mans</t>
        </is>
      </c>
      <c r="R24" s="30" t="inlineStr">
        <is>
          <t>03/08/2026</t>
        </is>
      </c>
      <c r="S24" s="30" t="inlineStr">
        <is>
          <t>FB2026-44192</t>
        </is>
      </c>
      <c r="T24" s="30" t="inlineStr">
        <is>
          <t>159</t>
        </is>
      </c>
      <c r="U24" s="22" t="inlineStr">
        <is>
          <t>Leboncoin + eBay, en lot</t>
        </is>
      </c>
      <c r="V24" s="22" t="inlineStr"/>
      <c r="W24" s="22" t="inlineStr">
        <is>
          <t>Normal</t>
        </is>
      </c>
      <c r="X24" s="22" t="inlineStr"/>
      <c r="Y24" s="22" t="n">
        <v>1</v>
      </c>
      <c r="Z24" s="67">
        <f>IF($G24="","",$G24/$Y24)</f>
        <v/>
      </c>
      <c r="AA24" s="22">
        <f>IF($Z24="","",IF($Z24&gt;=25,"atteint",TEXT(25-$Z24,"0.00")&amp;" € manquants"))</f>
        <v/>
      </c>
    </row>
    <row r="25">
      <c r="A25" s="13" t="inlineStr">
        <is>
          <t>Ballerines MASSIMO DUTTI P.41 — traces d'essayage</t>
        </is>
      </c>
      <c r="B25" s="59" t="n">
        <v>25.2</v>
      </c>
      <c r="C25" s="60">
        <f>$B25+$Y25*Paramètres!$B$13</f>
        <v/>
      </c>
      <c r="D25" s="61">
        <f>$C25/(1-Paramètres!$B$5-Paramètres!$B$6)</f>
        <v/>
      </c>
      <c r="E25" s="60">
        <f>CEILING($D25*Paramètres!$B$24,1)</f>
        <v/>
      </c>
      <c r="F25" s="62" t="n">
        <v>50</v>
      </c>
      <c r="G25" s="62">
        <f>IF($F25="","",$F25-$C25-$M25-$N25)</f>
        <v/>
      </c>
      <c r="H25" s="18">
        <f>IF($G25="","",$G25/$C25)</f>
        <v/>
      </c>
      <c r="I25" s="19" t="n">
        <v>1</v>
      </c>
      <c r="J25" s="60">
        <f>$C25/$I25</f>
        <v/>
      </c>
      <c r="K25" s="60">
        <f>IF($F25="","",$F25/$I25)</f>
        <v/>
      </c>
      <c r="L25" s="60">
        <f>IF($G25="","",$G25/$I25)</f>
        <v/>
      </c>
      <c r="M25" s="61">
        <f>IF($F25="","",$F25*(Paramètres!$B$5+Paramètres!$B$6))</f>
        <v/>
      </c>
      <c r="N25" s="60" t="n">
        <v>0</v>
      </c>
      <c r="O25" s="63" t="n">
        <v>20</v>
      </c>
      <c r="P25" s="63" t="n">
        <v>5.2</v>
      </c>
      <c r="Q25" s="21" t="inlineStr">
        <is>
          <t>ADN Le Mans</t>
        </is>
      </c>
      <c r="R25" s="21" t="inlineStr">
        <is>
          <t>28/07/2026</t>
        </is>
      </c>
      <c r="S25" s="21" t="inlineStr">
        <is>
          <t>FB2026-43716</t>
        </is>
      </c>
      <c r="T25" s="21" t="inlineStr">
        <is>
          <t>439</t>
        </is>
      </c>
      <c r="U25" s="13" t="inlineStr">
        <is>
          <t>Vinted, Espagne — non encaissé</t>
        </is>
      </c>
      <c r="V25" s="13" t="inlineStr"/>
      <c r="W25" s="13" t="inlineStr">
        <is>
          <t>VENDUE, en attente</t>
        </is>
      </c>
      <c r="X25" s="13" t="inlineStr">
        <is>
          <t>17/10/2026</t>
        </is>
      </c>
      <c r="Y25" s="13" t="n">
        <v>1</v>
      </c>
      <c r="Z25" s="62">
        <f>IF($G25="","",$G25/$Y25)</f>
        <v/>
      </c>
      <c r="AA25" s="13">
        <f>IF($Z25="","",IF($Z25&gt;=25,"atteint",TEXT(25-$Z25,"0.00")&amp;" € manquants"))</f>
        <v/>
      </c>
    </row>
    <row r="26">
      <c r="A26" s="4" t="inlineStr">
        <is>
          <t>GEOX baskets P.35 — neuves</t>
        </is>
      </c>
      <c r="B26" s="54" t="n">
        <v>21.73</v>
      </c>
      <c r="C26" s="55">
        <f>$B26+$Y26*Paramètres!$B$13</f>
        <v/>
      </c>
      <c r="D26" s="56">
        <f>$C26/(1-Paramètres!$B$5-Paramètres!$B$6)</f>
        <v/>
      </c>
      <c r="E26" s="55">
        <f>CEILING($D26*Paramètres!$B$24,1)</f>
        <v/>
      </c>
      <c r="F26" s="57" t="n">
        <v>54</v>
      </c>
      <c r="G26" s="57">
        <f>IF($F26="","",$F26-$C26-$M26-$N26)</f>
        <v/>
      </c>
      <c r="H26" s="9">
        <f>IF($G26="","",$G26/$C26)</f>
        <v/>
      </c>
      <c r="I26" s="10" t="n">
        <v>1</v>
      </c>
      <c r="J26" s="55">
        <f>$C26/$I26</f>
        <v/>
      </c>
      <c r="K26" s="55">
        <f>IF($F26="","",$F26/$I26)</f>
        <v/>
      </c>
      <c r="L26" s="55">
        <f>IF($G26="","",$G26/$I26)</f>
        <v/>
      </c>
      <c r="M26" s="56">
        <f>IF($F26="","",$F26*(Paramètres!$B$5+Paramètres!$B$6))</f>
        <v/>
      </c>
      <c r="N26" s="55" t="n">
        <v>0</v>
      </c>
      <c r="O26" s="58" t="n">
        <v>17</v>
      </c>
      <c r="P26" s="58" t="n">
        <v>4.42</v>
      </c>
      <c r="Q26" s="12" t="inlineStr">
        <is>
          <t>ADN Lyon</t>
        </is>
      </c>
      <c r="R26" s="12" t="inlineStr">
        <is>
          <t>03/08/2026</t>
        </is>
      </c>
      <c r="S26" s="12" t="inlineStr">
        <is>
          <t>FB2026-6023</t>
        </is>
      </c>
      <c r="T26" s="12" t="inlineStr">
        <is>
          <t>155</t>
        </is>
      </c>
      <c r="U26" s="4" t="inlineStr">
        <is>
          <t>Leboncoin + eBay</t>
        </is>
      </c>
      <c r="V26" s="4" t="inlineStr"/>
      <c r="W26" s="4" t="inlineStr">
        <is>
          <t>Plafonné par le marché</t>
        </is>
      </c>
      <c r="X26" s="4" t="inlineStr"/>
      <c r="Y26" s="4" t="n">
        <v>1</v>
      </c>
      <c r="Z26" s="57">
        <f>IF($G26="","",$G26/$Y26)</f>
        <v/>
      </c>
      <c r="AA26" s="4">
        <f>IF($Z26="","",IF($Z26&gt;=25,"atteint",TEXT(25-$Z26,"0.00")&amp;" € manquants"))</f>
        <v/>
      </c>
    </row>
    <row r="27">
      <c r="A27" s="4" t="inlineStr">
        <is>
          <t>1 booster box Pokémon MEGA Nihil Zero (Munikis Zero) M3 — 30 boosters de 5 cartes — 2 lots de 15 à 49 €, blister à photographier avant ouverture</t>
        </is>
      </c>
      <c r="B27" s="54" t="n">
        <v>69.23999999999999</v>
      </c>
      <c r="C27" s="55">
        <f>$B27</f>
        <v/>
      </c>
      <c r="D27" s="56">
        <f>$C27/(1-Paramètres!$B$5-Paramètres!$B$6)</f>
        <v/>
      </c>
      <c r="E27" s="55">
        <f>CEILING($D27*Paramètres!$B$24,1)</f>
        <v/>
      </c>
      <c r="F27" s="57" t="n">
        <v>98</v>
      </c>
      <c r="G27" s="57">
        <f>IF($F27="","",$F27-$C27-$M27-$N27)</f>
        <v/>
      </c>
      <c r="H27" s="9">
        <f>IF($G27="","",$G27/$C27)</f>
        <v/>
      </c>
      <c r="I27" s="10" t="n">
        <v>2</v>
      </c>
      <c r="J27" s="55">
        <f>$C27/$I27</f>
        <v/>
      </c>
      <c r="K27" s="55">
        <f>IF($F27="","",$F27/$I27)</f>
        <v/>
      </c>
      <c r="L27" s="55">
        <f>IF($G27="","",$G27/$I27)</f>
        <v/>
      </c>
      <c r="M27" s="56">
        <f>IF($F27="","",$F27*(Paramètres!$B$5+Paramètres!$B$6))</f>
        <v/>
      </c>
      <c r="N27" s="55" t="n">
        <v>0</v>
      </c>
      <c r="O27" s="31" t="n"/>
      <c r="P27" s="31" t="n"/>
      <c r="Q27" s="12" t="inlineStr">
        <is>
          <t>Meccha Japan</t>
        </is>
      </c>
      <c r="R27" s="12" t="inlineStr">
        <is>
          <t>03/08/2026</t>
        </is>
      </c>
      <c r="S27" s="12" t="inlineStr">
        <is>
          <t>#FA429713</t>
        </is>
      </c>
      <c r="T27" s="12" t="inlineStr">
        <is>
          <t>4521329432274</t>
        </is>
      </c>
      <c r="U27" s="4" t="inlineStr">
        <is>
          <t>Leboncoin, lots de 15</t>
        </is>
      </c>
      <c r="V27" s="4" t="inlineStr"/>
      <c r="W27" s="4" t="inlineStr">
        <is>
          <t>Normal</t>
        </is>
      </c>
      <c r="X27" s="4" t="inlineStr"/>
      <c r="Y27" s="4" t="n">
        <v>2</v>
      </c>
      <c r="Z27" s="57">
        <f>IF($G27="","",$G27/$Y27)</f>
        <v/>
      </c>
      <c r="AA27" s="4">
        <f>IF($Z27="","",IF($Z27&gt;=25,"atteint",TEXT(25-$Z27,"0.00")&amp;" € manquants"))</f>
        <v/>
      </c>
    </row>
    <row r="28">
      <c r="A28" s="13" t="inlineStr">
        <is>
          <t>Veste en jean ARMANI EXCHANGE T.S — neuve</t>
        </is>
      </c>
      <c r="B28" s="59" t="n">
        <v>25.2</v>
      </c>
      <c r="C28" s="60">
        <f>$B28+$Y28*Paramètres!$B$13</f>
        <v/>
      </c>
      <c r="D28" s="61">
        <f>$C28/(1-Paramètres!$B$5-Paramètres!$B$6)</f>
        <v/>
      </c>
      <c r="E28" s="60">
        <f>CEILING($D28*Paramètres!$B$24,1)</f>
        <v/>
      </c>
      <c r="F28" s="62" t="n">
        <v>50</v>
      </c>
      <c r="G28" s="62">
        <f>IF($F28="","",$F28-$C28-$M28-$N28)</f>
        <v/>
      </c>
      <c r="H28" s="18">
        <f>IF($G28="","",$G28/$C28)</f>
        <v/>
      </c>
      <c r="I28" s="19" t="n">
        <v>1</v>
      </c>
      <c r="J28" s="60">
        <f>$C28/$I28</f>
        <v/>
      </c>
      <c r="K28" s="60">
        <f>IF($F28="","",$F28/$I28)</f>
        <v/>
      </c>
      <c r="L28" s="60">
        <f>IF($G28="","",$G28/$I28)</f>
        <v/>
      </c>
      <c r="M28" s="61">
        <f>IF($F28="","",$F28*(Paramètres!$B$5+Paramètres!$B$6))</f>
        <v/>
      </c>
      <c r="N28" s="60" t="n">
        <v>0</v>
      </c>
      <c r="O28" s="63" t="n">
        <v>20</v>
      </c>
      <c r="P28" s="63" t="n">
        <v>5.2</v>
      </c>
      <c r="Q28" s="21" t="inlineStr">
        <is>
          <t>ADN Le Mans</t>
        </is>
      </c>
      <c r="R28" s="21" t="inlineStr">
        <is>
          <t>28/07/2026</t>
        </is>
      </c>
      <c r="S28" s="21" t="inlineStr">
        <is>
          <t>FB2026-43717</t>
        </is>
      </c>
      <c r="T28" s="21" t="inlineStr">
        <is>
          <t>168</t>
        </is>
      </c>
      <c r="U28" s="13" t="inlineStr">
        <is>
          <t>vendu</t>
        </is>
      </c>
      <c r="V28" s="13" t="inlineStr"/>
      <c r="W28" s="13" t="inlineStr">
        <is>
          <t>VENDU</t>
        </is>
      </c>
      <c r="X28" s="13" t="inlineStr">
        <is>
          <t>VENDU</t>
        </is>
      </c>
      <c r="Y28" s="13" t="n">
        <v>1</v>
      </c>
      <c r="Z28" s="62">
        <f>IF($G28="","",$G28/$Y28)</f>
        <v/>
      </c>
      <c r="AA28" s="13">
        <f>IF($Z28="","",IF($Z28&gt;=25,"atteint",TEXT(25-$Z28,"0.00")&amp;" € manquants"))</f>
        <v/>
      </c>
    </row>
    <row r="29">
      <c r="A29" s="4" t="inlineStr">
        <is>
          <t>Short BA&amp;SH Fegor T.34 — neuf</t>
        </is>
      </c>
      <c r="B29" s="54" t="n">
        <v>50.4</v>
      </c>
      <c r="C29" s="55">
        <f>$B29+$Y29*Paramètres!$B$13</f>
        <v/>
      </c>
      <c r="D29" s="56">
        <f>$C29/(1-Paramètres!$B$5-Paramètres!$B$6-Paramètres!$B$7)</f>
        <v/>
      </c>
      <c r="E29" s="55">
        <f>CEILING($D29*Paramètres!$B$24,1)</f>
        <v/>
      </c>
      <c r="F29" s="57" t="n">
        <v>75</v>
      </c>
      <c r="G29" s="57">
        <f>IF($F29="","",$F29-$C29-$M29-$N29)</f>
        <v/>
      </c>
      <c r="H29" s="9">
        <f>IF($G29="","",$G29/$C29)</f>
        <v/>
      </c>
      <c r="I29" s="10" t="n">
        <v>1</v>
      </c>
      <c r="J29" s="55">
        <f>$C29/$I29</f>
        <v/>
      </c>
      <c r="K29" s="55">
        <f>IF($F29="","",$F29/$I29)</f>
        <v/>
      </c>
      <c r="L29" s="55">
        <f>IF($G29="","",$G29/$I29)</f>
        <v/>
      </c>
      <c r="M29" s="56">
        <f>IF($F29="","",$F29*(Paramètres!$B$5+Paramètres!$B$6))</f>
        <v/>
      </c>
      <c r="N29" s="55">
        <f>IF($F29="","",$F29*Paramètres!$B$7)</f>
        <v/>
      </c>
      <c r="O29" s="58" t="n">
        <v>40</v>
      </c>
      <c r="P29" s="58" t="n">
        <v>10.4</v>
      </c>
      <c r="Q29" s="12" t="inlineStr">
        <is>
          <t>ADN Le Mans</t>
        </is>
      </c>
      <c r="R29" s="12" t="inlineStr">
        <is>
          <t>28/07/2026</t>
        </is>
      </c>
      <c r="S29" s="12" t="inlineStr">
        <is>
          <t>FB2026-43716</t>
        </is>
      </c>
      <c r="T29" s="12" t="inlineStr">
        <is>
          <t>408</t>
        </is>
      </c>
      <c r="U29" s="4" t="inlineStr">
        <is>
          <t>Boutique</t>
        </is>
      </c>
      <c r="V29" s="4" t="inlineStr"/>
      <c r="W29" s="4" t="inlineStr">
        <is>
          <t>URGENT — saisonnier</t>
        </is>
      </c>
      <c r="X29" s="4" t="inlineStr"/>
      <c r="Y29" s="4" t="n">
        <v>1</v>
      </c>
      <c r="Z29" s="57">
        <f>IF($G29="","",$G29/$Y29)</f>
        <v/>
      </c>
      <c r="AA29" s="4">
        <f>IF($Z29="","",IF($Z29&gt;=25,"atteint",TEXT(25-$Z29,"0.00")&amp;" € manquants"))</f>
        <v/>
      </c>
    </row>
    <row r="30">
      <c r="A30" s="4" t="inlineStr">
        <is>
          <t>NEW BALANCE G19064IK Alkaline Green P.38½ — neuves avec boîte</t>
        </is>
      </c>
      <c r="B30" s="54" t="n">
        <v>75.59999999999999</v>
      </c>
      <c r="C30" s="55">
        <f>$B30+$Y30*Paramètres!$B$13</f>
        <v/>
      </c>
      <c r="D30" s="56">
        <f>$C30/(1-Paramètres!$B$5-Paramètres!$B$6)</f>
        <v/>
      </c>
      <c r="E30" s="55">
        <f>CEILING($D30*Paramètres!$B$24,1)</f>
        <v/>
      </c>
      <c r="F30" s="57" t="n">
        <v>99</v>
      </c>
      <c r="G30" s="57">
        <f>IF($F30="","",$F30-$C30-$M30-$N30)</f>
        <v/>
      </c>
      <c r="H30" s="9">
        <f>IF($G30="","",$G30/$C30)</f>
        <v/>
      </c>
      <c r="I30" s="10" t="n">
        <v>1</v>
      </c>
      <c r="J30" s="55">
        <f>$C30/$I30</f>
        <v/>
      </c>
      <c r="K30" s="55">
        <f>IF($F30="","",$F30/$I30)</f>
        <v/>
      </c>
      <c r="L30" s="55">
        <f>IF($G30="","",$G30/$I30)</f>
        <v/>
      </c>
      <c r="M30" s="56">
        <f>IF($F30="","",$F30*(Paramètres!$B$5+Paramètres!$B$6))</f>
        <v/>
      </c>
      <c r="N30" s="55" t="n">
        <v>0</v>
      </c>
      <c r="O30" s="58" t="n">
        <v>60</v>
      </c>
      <c r="P30" s="58" t="n">
        <v>15.6</v>
      </c>
      <c r="Q30" s="12" t="inlineStr">
        <is>
          <t>ADN Le Mans</t>
        </is>
      </c>
      <c r="R30" s="12" t="inlineStr">
        <is>
          <t>28/07/2026</t>
        </is>
      </c>
      <c r="S30" s="12" t="inlineStr">
        <is>
          <t>FB2026-43716</t>
        </is>
      </c>
      <c r="T30" s="12" t="inlineStr">
        <is>
          <t>199</t>
        </is>
      </c>
      <c r="U30" s="4" t="inlineStr">
        <is>
          <t>Leboncoin</t>
        </is>
      </c>
      <c r="V30" s="4" t="inlineStr"/>
      <c r="W30" s="4" t="inlineStr">
        <is>
          <t>Liquider</t>
        </is>
      </c>
      <c r="X30" s="4" t="inlineStr"/>
      <c r="Y30" s="4" t="n">
        <v>1</v>
      </c>
      <c r="Z30" s="57">
        <f>IF($G30="","",$G30/$Y30)</f>
        <v/>
      </c>
      <c r="AA30" s="4">
        <f>IF($Z30="","",IF($Z30&gt;=25,"atteint",TEXT(25-$Z30,"0.00")&amp;" € manquants"))</f>
        <v/>
      </c>
    </row>
    <row r="31">
      <c r="A31" s="13" t="inlineStr">
        <is>
          <t>SALOMON X Ultra 5 Mid GTX P.44 — neuves</t>
        </is>
      </c>
      <c r="B31" s="59" t="n">
        <v>76.68000000000001</v>
      </c>
      <c r="C31" s="60">
        <f>$B31+$Y31*Paramètres!$B$13</f>
        <v/>
      </c>
      <c r="D31" s="61">
        <f>$C31/(1-Paramètres!$B$5-Paramètres!$B$6)</f>
        <v/>
      </c>
      <c r="E31" s="60">
        <f>CEILING($D31*Paramètres!$B$24,1)</f>
        <v/>
      </c>
      <c r="F31" s="62" t="n">
        <v>100</v>
      </c>
      <c r="G31" s="62">
        <f>IF($F31="","",$F31-$C31-$M31-$N31)</f>
        <v/>
      </c>
      <c r="H31" s="18">
        <f>IF($G31="","",$G31/$C31)</f>
        <v/>
      </c>
      <c r="I31" s="19" t="n">
        <v>1</v>
      </c>
      <c r="J31" s="60">
        <f>$C31/$I31</f>
        <v/>
      </c>
      <c r="K31" s="60">
        <f>IF($F31="","",$F31/$I31)</f>
        <v/>
      </c>
      <c r="L31" s="60">
        <f>IF($G31="","",$G31/$I31)</f>
        <v/>
      </c>
      <c r="M31" s="61">
        <f>IF($F31="","",$F31*(Paramètres!$B$5+Paramètres!$B$6))</f>
        <v/>
      </c>
      <c r="N31" s="60" t="n">
        <v>0</v>
      </c>
      <c r="O31" s="63" t="n">
        <v>60</v>
      </c>
      <c r="P31" s="63" t="n">
        <v>15.6</v>
      </c>
      <c r="Q31" s="21" t="inlineStr">
        <is>
          <t>ADN Le Mans</t>
        </is>
      </c>
      <c r="R31" s="21" t="inlineStr">
        <is>
          <t>03/08/2026</t>
        </is>
      </c>
      <c r="S31" s="21" t="inlineStr">
        <is>
          <t>FB2026-44192</t>
        </is>
      </c>
      <c r="T31" s="21" t="inlineStr">
        <is>
          <t>11</t>
        </is>
      </c>
      <c r="U31" s="13" t="inlineStr">
        <is>
          <t>Vinted, Italie — non encaissé</t>
        </is>
      </c>
      <c r="V31" s="13" t="inlineStr"/>
      <c r="W31" s="13" t="inlineStr">
        <is>
          <t>VENDUE, en attente</t>
        </is>
      </c>
      <c r="X31" s="13" t="inlineStr">
        <is>
          <t>12/08/2026</t>
        </is>
      </c>
      <c r="Y31" s="13" t="n">
        <v>1</v>
      </c>
      <c r="Z31" s="62">
        <f>IF($G31="","",$G31/$Y31)</f>
        <v/>
      </c>
      <c r="AA31" s="13">
        <f>IF($Z31="","",IF($Z31&gt;=25,"atteint",TEXT(25-$Z31,"0.00")&amp;" € manquants"))</f>
        <v/>
      </c>
    </row>
    <row r="32">
      <c r="A32" s="13" t="inlineStr">
        <is>
          <t>Sac demi-lune nylon noir KARL LAGERFELD JEANS — neuf avec étiquette</t>
        </is>
      </c>
      <c r="B32" s="59" t="n">
        <v>50.4</v>
      </c>
      <c r="C32" s="60">
        <f>$B32+$Y32*Paramètres!$B$13</f>
        <v/>
      </c>
      <c r="D32" s="61">
        <f>$C32/(1-Paramètres!$B$5-Paramètres!$B$6)</f>
        <v/>
      </c>
      <c r="E32" s="60">
        <f>CEILING($D32*Paramètres!$B$24,1)</f>
        <v/>
      </c>
      <c r="F32" s="62" t="n">
        <v>70</v>
      </c>
      <c r="G32" s="62">
        <f>IF($F32="","",$F32-$C32-$M32-$N32)</f>
        <v/>
      </c>
      <c r="H32" s="18">
        <f>IF($G32="","",$G32/$C32)</f>
        <v/>
      </c>
      <c r="I32" s="19" t="n">
        <v>1</v>
      </c>
      <c r="J32" s="60">
        <f>$C32/$I32</f>
        <v/>
      </c>
      <c r="K32" s="60">
        <f>IF($F32="","",$F32/$I32)</f>
        <v/>
      </c>
      <c r="L32" s="60">
        <f>IF($G32="","",$G32/$I32)</f>
        <v/>
      </c>
      <c r="M32" s="61">
        <f>IF($F32="","",$F32*(Paramètres!$B$5+Paramètres!$B$6))</f>
        <v/>
      </c>
      <c r="N32" s="60" t="n">
        <v>0</v>
      </c>
      <c r="O32" s="63" t="n">
        <v>40</v>
      </c>
      <c r="P32" s="63" t="n">
        <v>10.4</v>
      </c>
      <c r="Q32" s="21" t="inlineStr">
        <is>
          <t>ADN Le Mans</t>
        </is>
      </c>
      <c r="R32" s="21" t="inlineStr">
        <is>
          <t>28/07/2026</t>
        </is>
      </c>
      <c r="S32" s="21" t="inlineStr">
        <is>
          <t>FB2026-43716</t>
        </is>
      </c>
      <c r="T32" s="21" t="inlineStr">
        <is>
          <t>431</t>
        </is>
      </c>
      <c r="U32" s="13" t="inlineStr">
        <is>
          <t>vendu</t>
        </is>
      </c>
      <c r="V32" s="13" t="inlineStr"/>
      <c r="W32" s="13" t="inlineStr">
        <is>
          <t>VENDU</t>
        </is>
      </c>
      <c r="X32" s="13" t="inlineStr">
        <is>
          <t>VENDU</t>
        </is>
      </c>
      <c r="Y32" s="13" t="n">
        <v>1</v>
      </c>
      <c r="Z32" s="62">
        <f>IF($G32="","",$G32/$Y32)</f>
        <v/>
      </c>
      <c r="AA32" s="13">
        <f>IF($Z32="","",IF($Z32&gt;=25,"atteint",TEXT(25-$Z32,"0.00")&amp;" € manquants"))</f>
        <v/>
      </c>
    </row>
    <row r="33">
      <c r="A33" s="4" t="inlineStr">
        <is>
          <t>EMPORIO ARMANI baskets P.36 — neuves</t>
        </is>
      </c>
      <c r="B33" s="54" t="n">
        <v>51.12</v>
      </c>
      <c r="C33" s="55">
        <f>$B33+$Y33*Paramètres!$B$13</f>
        <v/>
      </c>
      <c r="D33" s="56">
        <f>$C33/(1-Paramètres!$B$5-Paramètres!$B$6)</f>
        <v/>
      </c>
      <c r="E33" s="55">
        <f>CEILING($D33*Paramètres!$B$24,1)</f>
        <v/>
      </c>
      <c r="F33" s="57" t="n">
        <v>69</v>
      </c>
      <c r="G33" s="57">
        <f>IF($F33="","",$F33-$C33-$M33-$N33)</f>
        <v/>
      </c>
      <c r="H33" s="9">
        <f>IF($G33="","",$G33/$C33)</f>
        <v/>
      </c>
      <c r="I33" s="10" t="n">
        <v>1</v>
      </c>
      <c r="J33" s="55">
        <f>$C33/$I33</f>
        <v/>
      </c>
      <c r="K33" s="55">
        <f>IF($F33="","",$F33/$I33)</f>
        <v/>
      </c>
      <c r="L33" s="55">
        <f>IF($G33="","",$G33/$I33)</f>
        <v/>
      </c>
      <c r="M33" s="56">
        <f>IF($F33="","",$F33*(Paramètres!$B$5+Paramètres!$B$6))</f>
        <v/>
      </c>
      <c r="N33" s="55" t="n">
        <v>0</v>
      </c>
      <c r="O33" s="58" t="n">
        <v>40</v>
      </c>
      <c r="P33" s="58" t="n">
        <v>10.4</v>
      </c>
      <c r="Q33" s="12" t="inlineStr">
        <is>
          <t>ADN Lyon</t>
        </is>
      </c>
      <c r="R33" s="12" t="inlineStr">
        <is>
          <t>03/08/2026</t>
        </is>
      </c>
      <c r="S33" s="12" t="inlineStr">
        <is>
          <t>FB2026-6023</t>
        </is>
      </c>
      <c r="T33" s="12" t="inlineStr">
        <is>
          <t>150</t>
        </is>
      </c>
      <c r="U33" s="4" t="inlineStr">
        <is>
          <t>Leboncoin</t>
        </is>
      </c>
      <c r="V33" s="4" t="inlineStr"/>
      <c r="W33" s="4" t="inlineStr">
        <is>
          <t>Liquider</t>
        </is>
      </c>
      <c r="X33" s="4" t="inlineStr"/>
      <c r="Y33" s="4" t="n">
        <v>1</v>
      </c>
      <c r="Z33" s="57">
        <f>IF($G33="","",$G33/$Y33)</f>
        <v/>
      </c>
      <c r="AA33" s="4">
        <f>IF($Z33="","",IF($Z33&gt;=25,"atteint",TEXT(25-$Z33,"0.00")&amp;" € manquants"))</f>
        <v/>
      </c>
    </row>
    <row r="34">
      <c r="A34" s="22" t="inlineStr">
        <is>
          <t>Lot de 4 toupies BEYBLADE HASBRO</t>
        </is>
      </c>
      <c r="B34" s="64" t="n">
        <v>38.34</v>
      </c>
      <c r="C34" s="65">
        <f>$B34+$Y34*Paramètres!$B$13</f>
        <v/>
      </c>
      <c r="D34" s="66">
        <f>$C34/(1-Paramètres!$B$5-Paramètres!$B$6)</f>
        <v/>
      </c>
      <c r="E34" s="65">
        <f>CEILING($D34*Paramètres!$B$24,1)</f>
        <v/>
      </c>
      <c r="F34" s="67" t="n">
        <v>55</v>
      </c>
      <c r="G34" s="67">
        <f>IF($F34="","",$F34-$C34-$M34-$N34)</f>
        <v/>
      </c>
      <c r="H34" s="27">
        <f>IF($G34="","",$G34/$C34)</f>
        <v/>
      </c>
      <c r="I34" s="28" t="n">
        <v>4</v>
      </c>
      <c r="J34" s="65">
        <f>$C34/$I34</f>
        <v/>
      </c>
      <c r="K34" s="65">
        <f>IF($F34="","",$F34/$I34)</f>
        <v/>
      </c>
      <c r="L34" s="65">
        <f>IF($G34="","",$G34/$I34)</f>
        <v/>
      </c>
      <c r="M34" s="66">
        <f>IF($F34="","",$F34*(Paramètres!$B$5+Paramètres!$B$6))</f>
        <v/>
      </c>
      <c r="N34" s="65" t="n">
        <v>0</v>
      </c>
      <c r="O34" s="68" t="n">
        <v>30</v>
      </c>
      <c r="P34" s="68" t="n">
        <v>7.8</v>
      </c>
      <c r="Q34" s="30" t="inlineStr">
        <is>
          <t>ADN Le Mans</t>
        </is>
      </c>
      <c r="R34" s="30" t="inlineStr">
        <is>
          <t>03/08/2026</t>
        </is>
      </c>
      <c r="S34" s="30" t="inlineStr">
        <is>
          <t>FB2026-44192</t>
        </is>
      </c>
      <c r="T34" s="30" t="inlineStr">
        <is>
          <t>299</t>
        </is>
      </c>
      <c r="U34" s="22" t="inlineStr">
        <is>
          <t>Leboncoin + eBay, en lot</t>
        </is>
      </c>
      <c r="V34" s="22" t="inlineStr"/>
      <c r="W34" s="22" t="inlineStr">
        <is>
          <t>Marge faible</t>
        </is>
      </c>
      <c r="X34" s="22" t="inlineStr"/>
      <c r="Y34" s="22" t="n">
        <v>1</v>
      </c>
      <c r="Z34" s="67">
        <f>IF($G34="","",$G34/$Y34)</f>
        <v/>
      </c>
      <c r="AA34" s="22">
        <f>IF($Z34="","",IF($Z34&gt;=25,"atteint",TEXT(25-$Z34,"0.00")&amp;" € manquants"))</f>
        <v/>
      </c>
    </row>
    <row r="35">
      <c r="A35" s="4" t="inlineStr">
        <is>
          <t>NEW BALANCE sneakers P.38 — neuves</t>
        </is>
      </c>
      <c r="B35" s="54" t="n">
        <v>38.34</v>
      </c>
      <c r="C35" s="55">
        <f>$B35+$Y35*Paramètres!$B$13</f>
        <v/>
      </c>
      <c r="D35" s="56">
        <f>$C35/(1-Paramètres!$B$5-Paramètres!$B$6)</f>
        <v/>
      </c>
      <c r="E35" s="55">
        <f>CEILING($D35*Paramètres!$B$24,1)</f>
        <v/>
      </c>
      <c r="F35" s="57" t="n">
        <v>54</v>
      </c>
      <c r="G35" s="57">
        <f>IF($F35="","",$F35-$C35-$M35-$N35)</f>
        <v/>
      </c>
      <c r="H35" s="9">
        <f>IF($G35="","",$G35/$C35)</f>
        <v/>
      </c>
      <c r="I35" s="10" t="n">
        <v>1</v>
      </c>
      <c r="J35" s="55">
        <f>$C35/$I35</f>
        <v/>
      </c>
      <c r="K35" s="55">
        <f>IF($F35="","",$F35/$I35)</f>
        <v/>
      </c>
      <c r="L35" s="55">
        <f>IF($G35="","",$G35/$I35)</f>
        <v/>
      </c>
      <c r="M35" s="56">
        <f>IF($F35="","",$F35*(Paramètres!$B$5+Paramètres!$B$6))</f>
        <v/>
      </c>
      <c r="N35" s="55" t="n">
        <v>0</v>
      </c>
      <c r="O35" s="58" t="n">
        <v>30</v>
      </c>
      <c r="P35" s="58" t="n">
        <v>7.8</v>
      </c>
      <c r="Q35" s="12" t="inlineStr">
        <is>
          <t>ADN Lyon</t>
        </is>
      </c>
      <c r="R35" s="12" t="inlineStr">
        <is>
          <t>03/08/2026</t>
        </is>
      </c>
      <c r="S35" s="12" t="inlineStr">
        <is>
          <t>FB2026-6023</t>
        </is>
      </c>
      <c r="T35" s="12" t="inlineStr">
        <is>
          <t>114</t>
        </is>
      </c>
      <c r="U35" s="4" t="inlineStr">
        <is>
          <t>Leboncoin</t>
        </is>
      </c>
      <c r="V35" s="4" t="inlineStr"/>
      <c r="W35" s="4" t="inlineStr">
        <is>
          <t>Liquider</t>
        </is>
      </c>
      <c r="X35" s="4" t="inlineStr"/>
      <c r="Y35" s="4" t="n">
        <v>1</v>
      </c>
      <c r="Z35" s="57">
        <f>IF($G35="","",$G35/$Y35)</f>
        <v/>
      </c>
      <c r="AA35" s="4">
        <f>IF($Z35="","",IF($Z35&gt;=25,"atteint",TEXT(25-$Z35,"0.00")&amp;" € manquants"))</f>
        <v/>
      </c>
    </row>
    <row r="36">
      <c r="A36" s="4" t="inlineStr">
        <is>
          <t>NEW BALANCE baskets montantes P.44 — neuves</t>
        </is>
      </c>
      <c r="B36" s="54" t="n">
        <v>51.12</v>
      </c>
      <c r="C36" s="55">
        <f>$B36+$Y36*Paramètres!$B$13</f>
        <v/>
      </c>
      <c r="D36" s="56">
        <f>$C36/(1-Paramètres!$B$5-Paramètres!$B$6)</f>
        <v/>
      </c>
      <c r="E36" s="55">
        <f>CEILING($D36*Paramètres!$B$24,1)</f>
        <v/>
      </c>
      <c r="F36" s="57" t="n">
        <v>65</v>
      </c>
      <c r="G36" s="57">
        <f>IF($F36="","",$F36-$C36-$M36-$N36)</f>
        <v/>
      </c>
      <c r="H36" s="9">
        <f>IF($G36="","",$G36/$C36)</f>
        <v/>
      </c>
      <c r="I36" s="10" t="n">
        <v>1</v>
      </c>
      <c r="J36" s="55">
        <f>$C36/$I36</f>
        <v/>
      </c>
      <c r="K36" s="55">
        <f>IF($F36="","",$F36/$I36)</f>
        <v/>
      </c>
      <c r="L36" s="55">
        <f>IF($G36="","",$G36/$I36)</f>
        <v/>
      </c>
      <c r="M36" s="56">
        <f>IF($F36="","",$F36*(Paramètres!$B$5+Paramètres!$B$6))</f>
        <v/>
      </c>
      <c r="N36" s="55" t="n">
        <v>0</v>
      </c>
      <c r="O36" s="58" t="n">
        <v>40</v>
      </c>
      <c r="P36" s="58" t="n">
        <v>10.4</v>
      </c>
      <c r="Q36" s="12" t="inlineStr">
        <is>
          <t>ADN Lyon</t>
        </is>
      </c>
      <c r="R36" s="12" t="inlineStr">
        <is>
          <t>03/08/2026</t>
        </is>
      </c>
      <c r="S36" s="12" t="inlineStr">
        <is>
          <t>FB2026-6023</t>
        </is>
      </c>
      <c r="T36" s="12" t="inlineStr">
        <is>
          <t>156</t>
        </is>
      </c>
      <c r="U36" s="4" t="inlineStr">
        <is>
          <t>Leboncoin</t>
        </is>
      </c>
      <c r="V36" s="4" t="inlineStr"/>
      <c r="W36" s="4" t="inlineStr">
        <is>
          <t>Liquider</t>
        </is>
      </c>
      <c r="X36" s="4" t="inlineStr"/>
      <c r="Y36" s="4" t="n">
        <v>1</v>
      </c>
      <c r="Z36" s="57">
        <f>IF($G36="","",$G36/$Y36)</f>
        <v/>
      </c>
      <c r="AA36" s="4">
        <f>IF($Z36="","",IF($Z36&gt;=25,"atteint",TEXT(25-$Z36,"0.00")&amp;" € manquants"))</f>
        <v/>
      </c>
    </row>
    <row r="37">
      <c r="A37" s="4" t="inlineStr">
        <is>
          <t>TOMMY JEANS baskets basses P.40 — neuves</t>
        </is>
      </c>
      <c r="B37" s="54" t="n">
        <v>52.4</v>
      </c>
      <c r="C37" s="55">
        <f>$B37+$Y37*Paramètres!$B$13</f>
        <v/>
      </c>
      <c r="D37" s="56">
        <f>$C37/(1-Paramètres!$B$5-Paramètres!$B$6)</f>
        <v/>
      </c>
      <c r="E37" s="55">
        <f>CEILING($D37*Paramètres!$B$24,1)</f>
        <v/>
      </c>
      <c r="F37" s="57" t="n">
        <v>65</v>
      </c>
      <c r="G37" s="57">
        <f>IF($F37="","",$F37-$C37-$M37-$N37)</f>
        <v/>
      </c>
      <c r="H37" s="9">
        <f>IF($G37="","",$G37/$C37)</f>
        <v/>
      </c>
      <c r="I37" s="10" t="n">
        <v>1</v>
      </c>
      <c r="J37" s="55">
        <f>$C37/$I37</f>
        <v/>
      </c>
      <c r="K37" s="55">
        <f>IF($F37="","",$F37/$I37)</f>
        <v/>
      </c>
      <c r="L37" s="55">
        <f>IF($G37="","",$G37/$I37)</f>
        <v/>
      </c>
      <c r="M37" s="56">
        <f>IF($F37="","",$F37*(Paramètres!$B$5+Paramètres!$B$6))</f>
        <v/>
      </c>
      <c r="N37" s="55" t="n">
        <v>0</v>
      </c>
      <c r="O37" s="58" t="n">
        <v>41</v>
      </c>
      <c r="P37" s="58" t="n">
        <v>10.66</v>
      </c>
      <c r="Q37" s="12" t="inlineStr">
        <is>
          <t>ADN Lyon</t>
        </is>
      </c>
      <c r="R37" s="12" t="inlineStr">
        <is>
          <t>03/08/2026</t>
        </is>
      </c>
      <c r="S37" s="12" t="inlineStr">
        <is>
          <t>FB2026-6023</t>
        </is>
      </c>
      <c r="T37" s="12" t="inlineStr">
        <is>
          <t>158</t>
        </is>
      </c>
      <c r="U37" s="4" t="inlineStr">
        <is>
          <t>Leboncoin + eBay</t>
        </is>
      </c>
      <c r="V37" s="4" t="inlineStr"/>
      <c r="W37" s="4" t="inlineStr">
        <is>
          <t>Liquider</t>
        </is>
      </c>
      <c r="X37" s="4" t="inlineStr"/>
      <c r="Y37" s="4" t="n">
        <v>1</v>
      </c>
      <c r="Z37" s="57">
        <f>IF($G37="","",$G37/$Y37)</f>
        <v/>
      </c>
      <c r="AA37" s="4">
        <f>IF($Z37="","",IF($Z37&gt;=25,"atteint",TEXT(25-$Z37,"0.00")&amp;" € manquants"))</f>
        <v/>
      </c>
    </row>
    <row r="38">
      <c r="A38" s="13" t="inlineStr">
        <is>
          <t>LACOSTE sneakers P.42 — neuves</t>
        </is>
      </c>
      <c r="B38" s="59" t="n">
        <v>57.51</v>
      </c>
      <c r="C38" s="60">
        <f>$B38+$Y38*Paramètres!$B$13</f>
        <v/>
      </c>
      <c r="D38" s="61">
        <f>$C38/(1-Paramètres!$B$5-Paramètres!$B$6)</f>
        <v/>
      </c>
      <c r="E38" s="60">
        <f>CEILING($D38*Paramètres!$B$24,1)</f>
        <v/>
      </c>
      <c r="F38" s="62" t="n">
        <v>70</v>
      </c>
      <c r="G38" s="62">
        <f>IF($F38="","",$F38-$C38-$M38-$N38)</f>
        <v/>
      </c>
      <c r="H38" s="18">
        <f>IF($G38="","",$G38/$C38)</f>
        <v/>
      </c>
      <c r="I38" s="19" t="n">
        <v>1</v>
      </c>
      <c r="J38" s="60">
        <f>$C38/$I38</f>
        <v/>
      </c>
      <c r="K38" s="60">
        <f>IF($F38="","",$F38/$I38)</f>
        <v/>
      </c>
      <c r="L38" s="60">
        <f>IF($G38="","",$G38/$I38)</f>
        <v/>
      </c>
      <c r="M38" s="61">
        <f>IF($F38="","",$F38*(Paramètres!$B$5+Paramètres!$B$6))</f>
        <v/>
      </c>
      <c r="N38" s="60" t="n">
        <v>0</v>
      </c>
      <c r="O38" s="63" t="n">
        <v>45</v>
      </c>
      <c r="P38" s="63" t="n">
        <v>11.7</v>
      </c>
      <c r="Q38" s="21" t="inlineStr">
        <is>
          <t>ADN Lyon</t>
        </is>
      </c>
      <c r="R38" s="21" t="inlineStr">
        <is>
          <t>03/08/2026</t>
        </is>
      </c>
      <c r="S38" s="21" t="inlineStr">
        <is>
          <t>FB2026-6023</t>
        </is>
      </c>
      <c r="T38" s="21" t="inlineStr">
        <is>
          <t>141</t>
        </is>
      </c>
      <c r="U38" s="13" t="inlineStr">
        <is>
          <t>vendu</t>
        </is>
      </c>
      <c r="V38" s="13" t="inlineStr"/>
      <c r="W38" s="13" t="inlineStr">
        <is>
          <t>VENDU</t>
        </is>
      </c>
      <c r="X38" s="13" t="inlineStr">
        <is>
          <t>VENDU</t>
        </is>
      </c>
      <c r="Y38" s="13" t="n">
        <v>1</v>
      </c>
      <c r="Z38" s="62">
        <f>IF($G38="","",$G38/$Y38)</f>
        <v/>
      </c>
      <c r="AA38" s="13">
        <f>IF($Z38="","",IF($Z38&gt;=25,"atteint",TEXT(25-$Z38,"0.00")&amp;" € manquants"))</f>
        <v/>
      </c>
    </row>
    <row r="39">
      <c r="A39" s="4" t="inlineStr">
        <is>
          <t>Pompe immergée ROBBY VP550W noir et bleu — produit d'occasion</t>
        </is>
      </c>
      <c r="B39" s="54" t="n">
        <v>35.9</v>
      </c>
      <c r="C39" s="55">
        <f>$B39</f>
        <v/>
      </c>
      <c r="D39" s="56">
        <f>$C39/(1-Paramètres!$B$5-Paramètres!$B$6)</f>
        <v/>
      </c>
      <c r="E39" s="55">
        <f>CEILING($D39*Paramètres!$B$24,1)</f>
        <v/>
      </c>
      <c r="F39" s="57" t="n">
        <v>45</v>
      </c>
      <c r="G39" s="57">
        <f>IF($F39="","",$F39-$C39-$M39-$N39)</f>
        <v/>
      </c>
      <c r="H39" s="9">
        <f>IF($G39="","",$G39/$C39)</f>
        <v/>
      </c>
      <c r="I39" s="10" t="n">
        <v>1</v>
      </c>
      <c r="J39" s="55">
        <f>$C39/$I39</f>
        <v/>
      </c>
      <c r="K39" s="55">
        <f>IF($F39="","",$F39/$I39)</f>
        <v/>
      </c>
      <c r="L39" s="55">
        <f>IF($G39="","",$G39/$I39)</f>
        <v/>
      </c>
      <c r="M39" s="56">
        <f>IF($F39="","",$F39*(Paramètres!$B$5+Paramètres!$B$6))</f>
        <v/>
      </c>
      <c r="N39" s="55" t="n">
        <v>0</v>
      </c>
      <c r="O39" s="31" t="n"/>
      <c r="P39" s="31" t="n"/>
      <c r="Q39" s="12" t="inlineStr">
        <is>
          <t>ERA Enchères Rhône-Alpes</t>
        </is>
      </c>
      <c r="R39" s="12" t="inlineStr">
        <is>
          <t>26/07/2026</t>
        </is>
      </c>
      <c r="S39" s="12" t="inlineStr">
        <is>
          <t>507148</t>
        </is>
      </c>
      <c r="T39" s="12" t="inlineStr">
        <is>
          <t>84</t>
        </is>
      </c>
      <c r="U39" s="4" t="inlineStr">
        <is>
          <t>Leboncoin, main propre</t>
        </is>
      </c>
      <c r="V39" s="4" t="inlineStr"/>
      <c r="W39" s="4" t="inlineStr">
        <is>
          <t>Normal</t>
        </is>
      </c>
      <c r="X39" s="4" t="inlineStr"/>
      <c r="Y39" s="4" t="n">
        <v>1</v>
      </c>
      <c r="Z39" s="57">
        <f>IF($G39="","",$G39/$Y39)</f>
        <v/>
      </c>
      <c r="AA39" s="4">
        <f>IF($Z39="","",IF($Z39&gt;=25,"atteint",TEXT(25-$Z39,"0.00")&amp;" € manquants"))</f>
        <v/>
      </c>
    </row>
    <row r="40">
      <c r="A40" s="4" t="inlineStr">
        <is>
          <t>Pompe immergée ROBBY VP550W noir/gris — comme neuf, SOCLE CASSÉ</t>
        </is>
      </c>
      <c r="B40" s="54" t="n">
        <v>28.29</v>
      </c>
      <c r="C40" s="55">
        <f>$B40</f>
        <v/>
      </c>
      <c r="D40" s="56">
        <f>$C40/(1-Paramètres!$B$5-Paramètres!$B$6)</f>
        <v/>
      </c>
      <c r="E40" s="55">
        <f>CEILING($D40*Paramètres!$B$24,1)</f>
        <v/>
      </c>
      <c r="F40" s="57" t="n">
        <v>35</v>
      </c>
      <c r="G40" s="57">
        <f>IF($F40="","",$F40-$C40-$M40-$N40)</f>
        <v/>
      </c>
      <c r="H40" s="9">
        <f>IF($G40="","",$G40/$C40)</f>
        <v/>
      </c>
      <c r="I40" s="10" t="n">
        <v>1</v>
      </c>
      <c r="J40" s="55">
        <f>$C40/$I40</f>
        <v/>
      </c>
      <c r="K40" s="55">
        <f>IF($F40="","",$F40/$I40)</f>
        <v/>
      </c>
      <c r="L40" s="55">
        <f>IF($G40="","",$G40/$I40)</f>
        <v/>
      </c>
      <c r="M40" s="56">
        <f>IF($F40="","",$F40*(Paramètres!$B$5+Paramètres!$B$6))</f>
        <v/>
      </c>
      <c r="N40" s="55" t="n">
        <v>0</v>
      </c>
      <c r="O40" s="31" t="n"/>
      <c r="P40" s="31" t="n"/>
      <c r="Q40" s="12" t="inlineStr">
        <is>
          <t>ERA Enchères Rhône-Alpes</t>
        </is>
      </c>
      <c r="R40" s="12" t="inlineStr">
        <is>
          <t>26/07/2026</t>
        </is>
      </c>
      <c r="S40" s="12" t="inlineStr">
        <is>
          <t>507148</t>
        </is>
      </c>
      <c r="T40" s="12" t="inlineStr">
        <is>
          <t>122</t>
        </is>
      </c>
      <c r="U40" s="4" t="inlineStr">
        <is>
          <t>Leboncoin, main propre</t>
        </is>
      </c>
      <c r="V40" s="4" t="inlineStr"/>
      <c r="W40" s="4" t="inlineStr">
        <is>
          <t>Marge faible</t>
        </is>
      </c>
      <c r="X40" s="4" t="inlineStr"/>
      <c r="Y40" s="4" t="n">
        <v>1</v>
      </c>
      <c r="Z40" s="57">
        <f>IF($G40="","",$G40/$Y40)</f>
        <v/>
      </c>
      <c r="AA40" s="4">
        <f>IF($Z40="","",IF($Z40&gt;=25,"atteint",TEXT(25-$Z40,"0.00")&amp;" € manquants"))</f>
        <v/>
      </c>
    </row>
    <row r="41">
      <c r="A41" s="4" t="inlineStr">
        <is>
          <t>2 boosters Pokémon MEGA Storm Emeralda M6 — 5 cartes chacun — set sorti le 31/07/2026, publier vite</t>
        </is>
      </c>
      <c r="B41" s="54" t="n">
        <v>12.74</v>
      </c>
      <c r="C41" s="55">
        <f>$B41</f>
        <v/>
      </c>
      <c r="D41" s="56">
        <f>$C41/(1-Paramètres!$B$5-Paramètres!$B$6)</f>
        <v/>
      </c>
      <c r="E41" s="55">
        <f>CEILING($D41*Paramètres!$B$24,1)</f>
        <v/>
      </c>
      <c r="F41" s="57" t="n">
        <v>19</v>
      </c>
      <c r="G41" s="57">
        <f>IF($F41="","",$F41-$C41-$M41-$N41)</f>
        <v/>
      </c>
      <c r="H41" s="9">
        <f>IF($G41="","",$G41/$C41)</f>
        <v/>
      </c>
      <c r="I41" s="10" t="n">
        <v>1</v>
      </c>
      <c r="J41" s="55">
        <f>$C41/$I41</f>
        <v/>
      </c>
      <c r="K41" s="55">
        <f>IF($F41="","",$F41/$I41)</f>
        <v/>
      </c>
      <c r="L41" s="55">
        <f>IF($G41="","",$G41/$I41)</f>
        <v/>
      </c>
      <c r="M41" s="56">
        <f>IF($F41="","",$F41*(Paramètres!$B$5+Paramètres!$B$6))</f>
        <v/>
      </c>
      <c r="N41" s="55" t="n">
        <v>0</v>
      </c>
      <c r="O41" s="31" t="n"/>
      <c r="P41" s="31" t="n"/>
      <c r="Q41" s="12" t="inlineStr">
        <is>
          <t>Meccha Japan</t>
        </is>
      </c>
      <c r="R41" s="12" t="inlineStr">
        <is>
          <t>03/08/2026</t>
        </is>
      </c>
      <c r="S41" s="12" t="inlineStr">
        <is>
          <t>#FA429713</t>
        </is>
      </c>
      <c r="T41" s="12" t="inlineStr">
        <is>
          <t>4521329462226</t>
        </is>
      </c>
      <c r="U41" s="4" t="inlineStr">
        <is>
          <t>Leboncoin, lot de 2</t>
        </is>
      </c>
      <c r="V41" s="4" t="inlineStr"/>
      <c r="W41" s="4" t="inlineStr">
        <is>
          <t>Normal</t>
        </is>
      </c>
      <c r="X41" s="4" t="inlineStr"/>
      <c r="Y41" s="4" t="n">
        <v>1</v>
      </c>
      <c r="Z41" s="57">
        <f>IF($G41="","",$G41/$Y41)</f>
        <v/>
      </c>
      <c r="AA41" s="4">
        <f>IF($Z41="","",IF($Z41&gt;=25,"atteint",TEXT(25-$Z41,"0.00")&amp;" € manquants"))</f>
        <v/>
      </c>
    </row>
    <row r="42">
      <c r="A42" s="13" t="inlineStr">
        <is>
          <t>1 booster Pokémon High Class Pack MEGA Dream ex M2a — 10 cartes dans le booster</t>
        </is>
      </c>
      <c r="B42" s="59" t="n">
        <v>12.95</v>
      </c>
      <c r="C42" s="60">
        <f>$B42</f>
        <v/>
      </c>
      <c r="D42" s="61">
        <f>$C42/(1-Paramètres!$B$5-Paramètres!$B$6)</f>
        <v/>
      </c>
      <c r="E42" s="60">
        <f>CEILING($D42*Paramètres!$B$24,1)</f>
        <v/>
      </c>
      <c r="F42" s="32" t="n"/>
      <c r="G42" s="62">
        <f>IF($F42="","",$F42-$C42-$M42-$N42)</f>
        <v/>
      </c>
      <c r="H42" s="18">
        <f>IF($G42="","",$G42/$C42)</f>
        <v/>
      </c>
      <c r="I42" s="19" t="n">
        <v>1</v>
      </c>
      <c r="J42" s="60">
        <f>$C42/$I42</f>
        <v/>
      </c>
      <c r="K42" s="60">
        <f>IF($F42="","",$F42/$I42)</f>
        <v/>
      </c>
      <c r="L42" s="60">
        <f>IF($G42="","",$G42/$I42)</f>
        <v/>
      </c>
      <c r="M42" s="61">
        <f>IF($F42="","",$F42*(Paramètres!$B$5+Paramètres!$B$6))</f>
        <v/>
      </c>
      <c r="N42" s="60" t="n">
        <v>0</v>
      </c>
      <c r="O42" s="32" t="n"/>
      <c r="P42" s="32" t="n"/>
      <c r="Q42" s="21" t="inlineStr">
        <is>
          <t>Meccha Japan</t>
        </is>
      </c>
      <c r="R42" s="21" t="inlineStr">
        <is>
          <t>03/08/2026</t>
        </is>
      </c>
      <c r="S42" s="21" t="inlineStr">
        <is>
          <t>#FA429713</t>
        </is>
      </c>
      <c r="T42" s="21" t="inlineStr">
        <is>
          <t>4521329431925</t>
        </is>
      </c>
      <c r="U42" s="13" t="inlineStr">
        <is>
          <t>Prélevé — usage personnel</t>
        </is>
      </c>
      <c r="V42" s="13" t="inlineStr"/>
      <c r="W42" s="13" t="inlineStr">
        <is>
          <t>PRÉLEVÉ</t>
        </is>
      </c>
      <c r="X42" s="13" t="inlineStr">
        <is>
          <t>PRÉLEVÉ 13/08</t>
        </is>
      </c>
      <c r="Y42" s="13" t="n">
        <v>1</v>
      </c>
      <c r="Z42" s="62">
        <f>IF($G42="","",$G42/$Y42)</f>
        <v/>
      </c>
      <c r="AA42" s="13">
        <f>IF($Z42="","",IF($Z42&gt;=25,"atteint",TEXT(25-$Z42,"0.00")&amp;" € manquants"))</f>
        <v/>
      </c>
    </row>
    <row r="43">
      <c r="A43" s="13" t="inlineStr">
        <is>
          <t>Pompe immergée ROBBY VP550W bleu et noir — occasion, NE MARCHE QU'EN MODE AUTO</t>
        </is>
      </c>
      <c r="B43" s="59" t="n">
        <v>19.41</v>
      </c>
      <c r="C43" s="60">
        <f>$B43</f>
        <v/>
      </c>
      <c r="D43" s="61">
        <f>$C43/(1-Paramètres!$B$5-Paramètres!$B$6)</f>
        <v/>
      </c>
      <c r="E43" s="60">
        <f>CEILING($D43*Paramètres!$B$24,1)</f>
        <v/>
      </c>
      <c r="F43" s="32" t="n"/>
      <c r="G43" s="62">
        <f>IF($F43="","",$F43-$C43-$M43-$N43)</f>
        <v/>
      </c>
      <c r="H43" s="18">
        <f>IF($G43="","",$G43/$C43)</f>
        <v/>
      </c>
      <c r="I43" s="19" t="n">
        <v>1</v>
      </c>
      <c r="J43" s="60">
        <f>$C43/$I43</f>
        <v/>
      </c>
      <c r="K43" s="60">
        <f>IF($F43="","",$F43/$I43)</f>
        <v/>
      </c>
      <c r="L43" s="60">
        <f>IF($G43="","",$G43/$I43)</f>
        <v/>
      </c>
      <c r="M43" s="61">
        <f>IF($F43="","",$F43*(Paramètres!$B$5+Paramètres!$B$6))</f>
        <v/>
      </c>
      <c r="N43" s="60" t="n">
        <v>0</v>
      </c>
      <c r="O43" s="32" t="n"/>
      <c r="P43" s="32" t="n"/>
      <c r="Q43" s="21" t="inlineStr">
        <is>
          <t>ERA Enchères Rhône-Alpes</t>
        </is>
      </c>
      <c r="R43" s="21" t="inlineStr">
        <is>
          <t>26/07/2026</t>
        </is>
      </c>
      <c r="S43" s="21" t="inlineStr">
        <is>
          <t>507148</t>
        </is>
      </c>
      <c r="T43" s="21" t="inlineStr">
        <is>
          <t>131</t>
        </is>
      </c>
      <c r="U43" s="13" t="inlineStr">
        <is>
          <t>Prélevée — usage personnel</t>
        </is>
      </c>
      <c r="V43" s="13" t="inlineStr"/>
      <c r="W43" s="13" t="inlineStr">
        <is>
          <t>PRÉLEVÉE</t>
        </is>
      </c>
      <c r="X43" s="13" t="inlineStr">
        <is>
          <t>PRÉLEVÉE 13/08</t>
        </is>
      </c>
      <c r="Y43" s="13" t="n">
        <v>1</v>
      </c>
      <c r="Z43" s="62">
        <f>IF($G43="","",$G43/$Y43)</f>
        <v/>
      </c>
      <c r="AA43" s="13">
        <f>IF($Z43="","",IF($Z43&gt;=25,"atteint",TEXT(25-$Z43,"0.00")&amp;" € manquants"))</f>
        <v/>
      </c>
    </row>
    <row r="44">
      <c r="A44" s="13" t="inlineStr">
        <is>
          <t>Baskets NIKE Air Max Moto 2K P.44.5 — neuves</t>
        </is>
      </c>
      <c r="B44" s="59" t="n">
        <v>50.4</v>
      </c>
      <c r="C44" s="60">
        <f>$B44+$Y44*Paramètres!$B$13</f>
        <v/>
      </c>
      <c r="D44" s="61">
        <f>$C44/(1-Paramètres!$B$5-Paramètres!$B$6)</f>
        <v/>
      </c>
      <c r="E44" s="60">
        <f>CEILING($D44*Paramètres!$B$24,1)</f>
        <v/>
      </c>
      <c r="F44" s="32" t="n"/>
      <c r="G44" s="62">
        <f>IF($F44="","",$F44-$C44-$M44-$N44)</f>
        <v/>
      </c>
      <c r="H44" s="18">
        <f>IF($G44="","",$G44/$C44)</f>
        <v/>
      </c>
      <c r="I44" s="19" t="n">
        <v>1</v>
      </c>
      <c r="J44" s="60">
        <f>$C44/$I44</f>
        <v/>
      </c>
      <c r="K44" s="60">
        <f>IF($F44="","",$F44/$I44)</f>
        <v/>
      </c>
      <c r="L44" s="60">
        <f>IF($G44="","",$G44/$I44)</f>
        <v/>
      </c>
      <c r="M44" s="61">
        <f>IF($F44="","",$F44*(Paramètres!$B$5+Paramètres!$B$6))</f>
        <v/>
      </c>
      <c r="N44" s="60" t="n">
        <v>0</v>
      </c>
      <c r="O44" s="63" t="n">
        <v>40</v>
      </c>
      <c r="P44" s="63" t="n">
        <v>10.4</v>
      </c>
      <c r="Q44" s="21" t="inlineStr">
        <is>
          <t>ADN Le Mans</t>
        </is>
      </c>
      <c r="R44" s="21" t="inlineStr">
        <is>
          <t>28/07/2026</t>
        </is>
      </c>
      <c r="S44" s="21" t="inlineStr">
        <is>
          <t>FB2026-43716</t>
        </is>
      </c>
      <c r="T44" s="21" t="inlineStr">
        <is>
          <t>170</t>
        </is>
      </c>
      <c r="U44" s="13" t="inlineStr">
        <is>
          <t>Prélevées — usage personnel</t>
        </is>
      </c>
      <c r="V44" s="13" t="inlineStr"/>
      <c r="W44" s="13" t="inlineStr">
        <is>
          <t>PRÉLEVÉES</t>
        </is>
      </c>
      <c r="X44" s="13" t="inlineStr">
        <is>
          <t>PRÉLEVÉES 09/08</t>
        </is>
      </c>
      <c r="Y44" s="13" t="n">
        <v>1</v>
      </c>
      <c r="Z44" s="62">
        <f>IF($G44="","",$G44/$Y44)</f>
        <v/>
      </c>
      <c r="AA44" s="13">
        <f>IF($Z44="","",IF($Z44&gt;=25,"atteint",TEXT(25-$Z44,"0.00")&amp;" € manquants"))</f>
        <v/>
      </c>
    </row>
    <row r="45">
      <c r="A45" s="13" t="inlineStr">
        <is>
          <t>Baskets HOKA P.37 1/3 — neuves</t>
        </is>
      </c>
      <c r="B45" s="59" t="n">
        <v>63</v>
      </c>
      <c r="C45" s="60">
        <f>$B45+$Y45*Paramètres!$B$13</f>
        <v/>
      </c>
      <c r="D45" s="61">
        <f>$C45/(1-Paramètres!$B$5-Paramètres!$B$6)</f>
        <v/>
      </c>
      <c r="E45" s="60">
        <f>CEILING($D45*Paramètres!$B$24,1)</f>
        <v/>
      </c>
      <c r="F45" s="32" t="n"/>
      <c r="G45" s="62">
        <f>IF($F45="","",$F45-$C45-$M45-$N45)</f>
        <v/>
      </c>
      <c r="H45" s="18">
        <f>IF($G45="","",$G45/$C45)</f>
        <v/>
      </c>
      <c r="I45" s="19" t="n">
        <v>1</v>
      </c>
      <c r="J45" s="60">
        <f>$C45/$I45</f>
        <v/>
      </c>
      <c r="K45" s="60">
        <f>IF($F45="","",$F45/$I45)</f>
        <v/>
      </c>
      <c r="L45" s="60">
        <f>IF($G45="","",$G45/$I45)</f>
        <v/>
      </c>
      <c r="M45" s="61">
        <f>IF($F45="","",$F45*(Paramètres!$B$5+Paramètres!$B$6))</f>
        <v/>
      </c>
      <c r="N45" s="60" t="n">
        <v>0</v>
      </c>
      <c r="O45" s="63" t="n">
        <v>50</v>
      </c>
      <c r="P45" s="63" t="n">
        <v>13</v>
      </c>
      <c r="Q45" s="21" t="inlineStr">
        <is>
          <t>ADN Le Mans</t>
        </is>
      </c>
      <c r="R45" s="21" t="inlineStr">
        <is>
          <t>28/07/2026</t>
        </is>
      </c>
      <c r="S45" s="21" t="inlineStr">
        <is>
          <t>FB2026-43716</t>
        </is>
      </c>
      <c r="T45" s="21" t="inlineStr">
        <is>
          <t>103</t>
        </is>
      </c>
      <c r="U45" s="13" t="inlineStr">
        <is>
          <t>Prélevées — usage personnel</t>
        </is>
      </c>
      <c r="V45" s="13" t="inlineStr"/>
      <c r="W45" s="13" t="inlineStr">
        <is>
          <t>PRÉLEVÉES</t>
        </is>
      </c>
      <c r="X45" s="13" t="inlineStr">
        <is>
          <t>PRÉLEVÉES 09/08</t>
        </is>
      </c>
      <c r="Y45" s="13" t="n">
        <v>1</v>
      </c>
      <c r="Z45" s="62">
        <f>IF($G45="","",$G45/$Y45)</f>
        <v/>
      </c>
      <c r="AA45" s="13">
        <f>IF($Z45="","",IF($Z45&gt;=25,"atteint",TEXT(25-$Z45,"0.00")&amp;" € manquants"))</f>
        <v/>
      </c>
    </row>
    <row r="46">
      <c r="A46" s="33" t="inlineStr">
        <is>
          <t>TOTAL — 40 lots</t>
        </is>
      </c>
      <c r="B46" s="69">
        <f>SUM(B6:B45)</f>
        <v/>
      </c>
      <c r="C46" s="69">
        <f>SUM(C6:C45)</f>
        <v/>
      </c>
      <c r="D46" s="35" t="n"/>
      <c r="E46" s="35" t="n"/>
      <c r="F46" s="69">
        <f>SUM(F6:F45)</f>
        <v/>
      </c>
      <c r="G46" s="69">
        <f>SUM(G6:G45)</f>
        <v/>
      </c>
      <c r="H46" s="36">
        <f>G46/C46</f>
        <v/>
      </c>
      <c r="I46" s="70">
        <f>SUM(I6:I45)</f>
        <v/>
      </c>
      <c r="J46" s="35" t="n"/>
      <c r="K46" s="35" t="n"/>
      <c r="L46" s="35" t="n"/>
      <c r="M46" s="69">
        <f>SUM(M6:M45)</f>
        <v/>
      </c>
      <c r="N46" s="69">
        <f>SUM(N6:N45)</f>
        <v/>
      </c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69">
        <f>G46/SUM(Y6:Y45)</f>
        <v/>
      </c>
      <c r="AA46" s="35" t="n"/>
    </row>
  </sheetData>
  <autoFilter ref="A5:AA45"/>
  <conditionalFormatting sqref="G6:G45">
    <cfRule type="cellIs" priority="1" operator="lessThan" dxfId="0">
      <formula>10</formula>
    </cfRule>
  </conditionalFormatting>
  <conditionalFormatting sqref="Z6:Z45">
    <cfRule type="cellIs" priority="2" operator="greaterThanOrEqual" dxfId="1">
      <formula>25</formula>
    </cfRule>
    <cfRule type="cellIs" priority="3" operator="lessThan" dxfId="0">
      <formula>25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50" customWidth="1" min="3" max="3"/>
  </cols>
  <sheetData>
    <row r="1">
      <c r="A1" s="1" t="inlineStr">
        <is>
          <t>Synthèse</t>
        </is>
      </c>
    </row>
    <row r="3">
      <c r="A3" s="38" t="inlineStr">
        <is>
          <t>CAPITAL ENGAGÉ</t>
        </is>
      </c>
    </row>
    <row r="4">
      <c r="A4" s="39" t="inlineStr">
        <is>
          <t>Marchandise ADN</t>
        </is>
      </c>
      <c r="B4" s="55" t="n">
        <v>1637.35</v>
      </c>
    </row>
    <row r="5">
      <c r="A5" s="39" t="inlineStr">
        <is>
          <t>Livraison ADN</t>
        </is>
      </c>
      <c r="B5" s="55">
        <f>Paramètres!B11</f>
        <v/>
      </c>
    </row>
    <row r="6">
      <c r="A6" s="39" t="inlineStr">
        <is>
          <t>Achats hors ADN (pompes, Pokémon)</t>
        </is>
      </c>
      <c r="B6" s="55" t="n">
        <v>178.53</v>
      </c>
    </row>
    <row r="7">
      <c r="A7" s="40" t="inlineStr">
        <is>
          <t>TOTAL ENGAGÉ</t>
        </is>
      </c>
      <c r="B7" s="69">
        <f>'Stock complet'!C46</f>
        <v/>
      </c>
    </row>
    <row r="9">
      <c r="A9" s="38" t="inlineStr">
        <is>
          <t>CHIFFRE D'AFFAIRES ET MARGE</t>
        </is>
      </c>
    </row>
    <row r="10">
      <c r="A10" s="40" t="inlineStr">
        <is>
          <t>Chiffre d'affaires attendu</t>
        </is>
      </c>
      <c r="B10" s="57">
        <f>'Stock complet'!F46</f>
        <v/>
      </c>
      <c r="C10" s="2" t="inlineStr">
        <is>
          <t>hors lots dont le prix reste à établir</t>
        </is>
      </c>
    </row>
    <row r="11">
      <c r="A11" s="39" t="inlineStr">
        <is>
          <t>− URSSAF + CFP</t>
        </is>
      </c>
      <c r="B11" s="56">
        <f>-'Stock complet'!M46</f>
        <v/>
      </c>
    </row>
    <row r="12">
      <c r="A12" s="39" t="inlineStr">
        <is>
          <t>− Commission carte</t>
        </is>
      </c>
      <c r="B12" s="55">
        <f>-'Stock complet'!N46</f>
        <v/>
      </c>
    </row>
    <row r="13">
      <c r="A13" s="40">
        <f> Marge brute</f>
        <v/>
      </c>
      <c r="B13" s="69">
        <f>'Stock complet'!G46</f>
        <v/>
      </c>
    </row>
    <row r="14">
      <c r="A14" s="39" t="inlineStr">
        <is>
          <t>− Emballage</t>
        </is>
      </c>
      <c r="B14" s="55">
        <f>-Paramètres!B20*Paramètres!B21</f>
        <v/>
      </c>
    </row>
    <row r="15">
      <c r="A15" s="39" t="inlineStr">
        <is>
          <t>− Frais fixe carte</t>
        </is>
      </c>
      <c r="B15" s="55">
        <f>-Paramètres!B8*Paramètres!B21</f>
        <v/>
      </c>
    </row>
    <row r="16">
      <c r="A16" s="40">
        <f> Marge avant impôt</f>
        <v/>
      </c>
      <c r="B16" s="69">
        <f>B13+B14+B15</f>
        <v/>
      </c>
    </row>
    <row r="17">
      <c r="A17" s="39" t="inlineStr">
        <is>
          <t>Base imposable</t>
        </is>
      </c>
      <c r="B17" s="55">
        <f>B10*(1-Paramètres!B16)</f>
        <v/>
      </c>
    </row>
    <row r="18">
      <c r="A18" s="39" t="inlineStr">
        <is>
          <t>− Impôt estimé</t>
        </is>
      </c>
      <c r="B18" s="55">
        <f>-B17*Paramètres!B17</f>
        <v/>
      </c>
    </row>
    <row r="19">
      <c r="A19" s="40">
        <f> CE QUI RESTE</f>
        <v/>
      </c>
      <c r="B19" s="71">
        <f>B16+B18</f>
        <v/>
      </c>
    </row>
    <row r="21">
      <c r="A21" s="38" t="inlineStr">
        <is>
          <t>RENDEMENT</t>
        </is>
      </c>
    </row>
    <row r="22">
      <c r="A22" s="39" t="inlineStr">
        <is>
          <t>Marge nette / capital engagé</t>
        </is>
      </c>
      <c r="B22" s="72">
        <f>B19/B7</f>
        <v/>
      </c>
    </row>
    <row r="23">
      <c r="A23" s="39" t="inlineStr">
        <is>
          <t>Articles physiques</t>
        </is>
      </c>
      <c r="B23" s="43">
        <f>'Stock complet'!I46</f>
        <v/>
      </c>
    </row>
    <row r="24">
      <c r="A24" s="39" t="inlineStr">
        <is>
          <t>Taux de marge nette sur le CA</t>
        </is>
      </c>
      <c r="B24" s="72">
        <f>B19/B10</f>
        <v/>
      </c>
      <c r="C24" s="2" t="inlineStr">
        <is>
          <t>ce qui reste pour 1 € encaissé</t>
        </is>
      </c>
    </row>
    <row r="26">
      <c r="A26" s="38" t="inlineStr">
        <is>
          <t>CHARGES FIXES — CE QUE LA BOUTIQUE COÛTE AVANT DE VENDRE</t>
        </is>
      </c>
    </row>
    <row r="27">
      <c r="A27" s="39" t="inlineStr">
        <is>
          <t>Shopify + Claude, aujourd'hui</t>
        </is>
      </c>
      <c r="B27" s="55">
        <f>Paramètres!B30</f>
        <v/>
      </c>
      <c r="C27" s="2" t="inlineStr">
        <is>
          <t>1 € + 22 €</t>
        </is>
      </c>
    </row>
    <row r="28">
      <c r="A28" s="39" t="inlineStr">
        <is>
          <t>Shopify + Claude, à partir du 11/11/2026</t>
        </is>
      </c>
      <c r="B28" s="55">
        <f>Paramètres!B31</f>
        <v/>
      </c>
      <c r="C28" s="2" t="inlineStr">
        <is>
          <t>36 € + 22 €</t>
        </is>
      </c>
    </row>
    <row r="29">
      <c r="A29" s="40" t="inlineStr">
        <is>
          <t>Soit par an, à partir de novembre</t>
        </is>
      </c>
      <c r="B29" s="69">
        <f>Paramètres!B31*12</f>
        <v/>
      </c>
    </row>
    <row r="30">
      <c r="A30" s="40" t="inlineStr">
        <is>
          <t>CA mensuel nécessaire pour les couvrir</t>
        </is>
      </c>
      <c r="B30" s="71">
        <f>Paramètres!B31/B24</f>
        <v/>
      </c>
      <c r="C30" s="2" t="inlineStr">
        <is>
          <t>au taux de marge nette du stock actuel</t>
        </is>
      </c>
    </row>
    <row r="31">
      <c r="A31" s="39" t="inlineStr">
        <is>
          <t>Marge du stock entier</t>
        </is>
      </c>
      <c r="B31" s="55">
        <f>B19</f>
        <v/>
      </c>
      <c r="C31" s="2" t="inlineStr">
        <is>
          <t>de quoi couvrir combien de mois :</t>
        </is>
      </c>
    </row>
    <row r="32">
      <c r="A32" s="40" t="inlineStr">
        <is>
          <t>Mois de charges couverts par tout le stock</t>
        </is>
      </c>
      <c r="B32" s="73">
        <f>B19/Paramètres!B31</f>
        <v/>
      </c>
    </row>
    <row r="34">
      <c r="A34" s="38" t="inlineStr">
        <is>
          <t>À FAIRE</t>
        </is>
      </c>
    </row>
    <row r="35">
      <c r="A35" s="39" t="inlineStr">
        <is>
          <t>Yeezy 700 V3 : 105 € sous réserve d'authentification. Neuve à 140 € (wehaveit.fr).</t>
        </is>
      </c>
    </row>
    <row r="36">
      <c r="A36" s="45" t="inlineStr">
        <is>
          <t>CA encaissé : 373 €, pas 493 €. Les Hoka et les Nike sont des prélèvements, pas des ventes.</t>
        </is>
      </c>
    </row>
    <row r="37">
      <c r="A37" s="39" t="inlineStr">
        <is>
          <t>Toutes les factures sont reçues. 150,50 € de stock prélevé pour usage personnel.</t>
        </is>
      </c>
    </row>
    <row r="38">
      <c r="A38" s="45" t="inlineStr">
        <is>
          <t>SEUIL D'ÉQUILIBRE : ne jamais vendre en dessous, la vente coûterait de l'argent.</t>
        </is>
      </c>
    </row>
    <row r="39">
      <c r="A39" s="39" t="inlineStr">
        <is>
          <t>PRIX PLANCHER : 30 % au-dessus du seuil. Le plus bas acceptable, famille comprise.</t>
        </is>
      </c>
    </row>
    <row r="40">
      <c r="A40" s="2" t="inlineStr">
        <is>
          <t>Ne pas confondre avec le seuil de sourcing de 25 € : celui-là sert à decider d'ACHETER, pas de vendre.</t>
        </is>
      </c>
    </row>
    <row r="41">
      <c r="A41" s="38" t="inlineStr">
        <is>
          <t>OBJECTIF 25 € DE MARGE PAR VENTE : atteint sur 15 lots, impossible sur 13 — le prix de rue plafonne.</t>
        </is>
      </c>
    </row>
    <row r="42">
      <c r="A42" s="45" t="inlineStr">
        <is>
          <t>Règle d'achat qui en découle : coût maximum tout compris = prix marché × 0,876 − 25 €.</t>
        </is>
      </c>
    </row>
    <row r="43">
      <c r="A43" s="39" t="inlineStr">
        <is>
          <t>Sous 121 € de prix marché, cette règle est plus stricte que celle des deux tiers. Au-dessus, c'est l'inverse.</t>
        </is>
      </c>
    </row>
    <row r="44">
      <c r="A44" s="45" t="inlineStr">
        <is>
          <t>Sous 40 € de prix marché, 25 € de marge sont hors d'atteinte quelle que soit l'enchère. Ne pas miser.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48" customWidth="1" min="3" max="3"/>
  </cols>
  <sheetData>
    <row r="1">
      <c r="A1" s="1" t="inlineStr">
        <is>
          <t>Paramètres</t>
        </is>
      </c>
    </row>
    <row r="2">
      <c r="A2" s="2" t="inlineStr">
        <is>
          <t>Cellules jaunes : les seules à modifier.</t>
        </is>
      </c>
    </row>
    <row r="4">
      <c r="A4" s="38" t="inlineStr">
        <is>
          <t>CHARGES SUR LE CHIFFRE D'AFFAIRES</t>
        </is>
      </c>
    </row>
    <row r="5">
      <c r="A5" s="39" t="inlineStr">
        <is>
          <t>Cotisations URSSAF (achat-revente BIC)</t>
        </is>
      </c>
      <c r="B5" s="74" t="n">
        <v>0.123</v>
      </c>
      <c r="C5" s="2" t="inlineStr">
        <is>
          <t>À confirmer sur autoentrepreneur.urssaf.fr</t>
        </is>
      </c>
    </row>
    <row r="6">
      <c r="A6" s="39" t="inlineStr">
        <is>
          <t>CFP — formation professionnelle</t>
        </is>
      </c>
      <c r="B6" s="74" t="n">
        <v>0.001</v>
      </c>
    </row>
    <row r="7">
      <c r="A7" s="39" t="inlineStr">
        <is>
          <t>Commission carte Shopify Payments</t>
        </is>
      </c>
      <c r="B7" s="74" t="n">
        <v>0.015</v>
      </c>
      <c r="C7" s="2" t="inlineStr">
        <is>
          <t>Boutique uniquement</t>
        </is>
      </c>
    </row>
    <row r="8">
      <c r="A8" s="39" t="inlineStr">
        <is>
          <t>Frais fixe par transaction carte</t>
        </is>
      </c>
      <c r="B8" s="75" t="n">
        <v>0.25</v>
      </c>
    </row>
    <row r="10">
      <c r="A10" s="38" t="inlineStr">
        <is>
          <t>LIVRAISON DES LOTS</t>
        </is>
      </c>
    </row>
    <row r="11">
      <c r="A11" s="39" t="inlineStr">
        <is>
          <t>Total des factures de livraison ADN</t>
        </is>
      </c>
      <c r="B11" s="54" t="n">
        <v>127.8</v>
      </c>
      <c r="C11" s="2" t="inlineStr">
        <is>
          <t>5 factures Colissimo Point Relais</t>
        </is>
      </c>
    </row>
    <row r="12">
      <c r="A12" s="39" t="inlineStr">
        <is>
          <t>Unités de vente reçues d'ADN</t>
        </is>
      </c>
      <c r="B12" s="10" t="n">
        <v>54</v>
      </c>
      <c r="C12" s="2" t="inlineStr">
        <is>
          <t>un lot vendu en bloc compte pour 1</t>
        </is>
      </c>
    </row>
    <row r="13">
      <c r="A13" s="39" t="inlineStr">
        <is>
          <t>Livraison par unité de vente</t>
        </is>
      </c>
      <c r="B13" s="55">
        <f>B11/B12</f>
        <v/>
      </c>
      <c r="C13" s="2" t="inlineStr">
        <is>
          <t>réparti au nombre de colis à expédier</t>
        </is>
      </c>
    </row>
    <row r="15">
      <c r="A15" s="38" t="inlineStr">
        <is>
          <t>IMPÔT SUR LE REVENU — MICRO-BIC</t>
        </is>
      </c>
    </row>
    <row r="16">
      <c r="A16" s="39" t="inlineStr">
        <is>
          <t>Abattement forfaitaire</t>
        </is>
      </c>
      <c r="B16" s="74" t="n">
        <v>0.71</v>
      </c>
      <c r="C16" s="2" t="inlineStr">
        <is>
          <t>Versement libératoire NON retenu</t>
        </is>
      </c>
    </row>
    <row r="17">
      <c r="A17" s="39" t="inlineStr">
        <is>
          <t>Tranche marginale du foyer</t>
        </is>
      </c>
      <c r="B17" s="74" t="n">
        <v>0.11</v>
      </c>
      <c r="C17" s="2" t="inlineStr">
        <is>
          <t>0 %, 11 %, 30 %… à ajuster</t>
        </is>
      </c>
    </row>
    <row r="19">
      <c r="A19" s="38" t="inlineStr">
        <is>
          <t>FRAIS DE VENTE</t>
        </is>
      </c>
    </row>
    <row r="20">
      <c r="A20" s="39" t="inlineStr">
        <is>
          <t>Emballage par colis</t>
        </is>
      </c>
      <c r="B20" s="75" t="n">
        <v>2</v>
      </c>
    </row>
    <row r="21">
      <c r="A21" s="39" t="inlineStr">
        <is>
          <t>Nombre d'annonces prévues</t>
        </is>
      </c>
      <c r="B21" s="48" t="n">
        <v>40</v>
      </c>
    </row>
    <row r="23">
      <c r="A23" s="38" t="inlineStr">
        <is>
          <t>PLANCHER DE NÉGOCIATION</t>
        </is>
      </c>
    </row>
    <row r="24">
      <c r="A24" s="39" t="inlineStr">
        <is>
          <t>Coefficient sur le seuil d'équilibre</t>
        </is>
      </c>
      <c r="B24" s="49" t="n">
        <v>1.3</v>
      </c>
      <c r="C24" s="2" t="inlineStr">
        <is>
          <t>plancher = seuil × ce coefficient</t>
        </is>
      </c>
    </row>
    <row r="26">
      <c r="A26" s="38" t="inlineStr">
        <is>
          <t>CHARGES FIXES MENSUELLES</t>
        </is>
      </c>
    </row>
    <row r="27">
      <c r="A27" s="39" t="inlineStr">
        <is>
          <t>Abonnement Shopify — aujourd'hui</t>
        </is>
      </c>
      <c r="B27" s="75" t="n">
        <v>1</v>
      </c>
      <c r="C27" s="2" t="inlineStr">
        <is>
          <t>1 €/mois jusqu'au 10/11/2026</t>
        </is>
      </c>
    </row>
    <row r="28">
      <c r="A28" s="39" t="inlineStr">
        <is>
          <t>Abonnement Shopify — à partir du 11/11/2026</t>
        </is>
      </c>
      <c r="B28" s="75" t="n">
        <v>36</v>
      </c>
      <c r="C28" s="2" t="inlineStr">
        <is>
          <t>432 €/an</t>
        </is>
      </c>
    </row>
    <row r="29">
      <c r="A29" s="39" t="inlineStr">
        <is>
          <t>Abonnement Claude</t>
        </is>
      </c>
      <c r="B29" s="75" t="n">
        <v>22</v>
      </c>
      <c r="C29" s="2" t="inlineStr">
        <is>
          <t>264 €/an</t>
        </is>
      </c>
    </row>
    <row r="30">
      <c r="A30" s="39" t="inlineStr">
        <is>
          <t>Total mensuel aujourd'hui</t>
        </is>
      </c>
      <c r="B30" s="76">
        <f>B27+B29</f>
        <v/>
      </c>
    </row>
    <row r="31">
      <c r="A31" s="39" t="inlineStr">
        <is>
          <t>Total mensuel à partir du 11/11/2026</t>
        </is>
      </c>
      <c r="B31" s="76">
        <f>B28+B29</f>
        <v/>
      </c>
      <c r="C31" s="2" t="inlineStr">
        <is>
          <t>696 €/an</t>
        </is>
      </c>
    </row>
    <row r="33">
      <c r="A33" s="38" t="inlineStr">
        <is>
          <t>CHARGES FIXES ANNUELLES</t>
        </is>
      </c>
    </row>
    <row r="34">
      <c r="A34" s="39" t="inlineStr">
        <is>
          <t>CFE — cotisation foncière des entreprises</t>
        </is>
      </c>
      <c r="B34" s="75" t="n">
        <v>0</v>
      </c>
      <c r="C34" s="2" t="inlineStr">
        <is>
          <t>exonérée en 2026, 200 à 600 €/an à partir de 2027</t>
        </is>
      </c>
    </row>
    <row r="36">
      <c r="A36" s="38" t="inlineStr">
        <is>
          <t>COMMISSION D'ENCAISSEMENT PAR CANAL</t>
        </is>
      </c>
    </row>
    <row r="37">
      <c r="A37" s="39" t="inlineStr">
        <is>
          <t>Shopify Payments — taux</t>
        </is>
      </c>
      <c r="B37" s="51" t="n">
        <v>0.015</v>
      </c>
      <c r="C37" s="2" t="inlineStr">
        <is>
          <t>le moins cher : canal à privilégier</t>
        </is>
      </c>
    </row>
    <row r="38">
      <c r="A38" s="39" t="inlineStr">
        <is>
          <t>Shopify Payments — frais fixe</t>
        </is>
      </c>
      <c r="B38" s="75" t="n">
        <v>0.25</v>
      </c>
    </row>
    <row r="39">
      <c r="A39" s="39" t="inlineStr">
        <is>
          <t>PayPal — taux</t>
        </is>
      </c>
      <c r="B39" s="51" t="n">
        <v>0.029</v>
      </c>
      <c r="C39" s="2" t="inlineStr">
        <is>
          <t>À RELEVER sur ton compte : Paramètres &gt; Frais marchands</t>
        </is>
      </c>
    </row>
    <row r="40">
      <c r="A40" s="39" t="inlineStr">
        <is>
          <t>PayPal — frais fixe</t>
        </is>
      </c>
      <c r="B40" s="75" t="n">
        <v>0.35</v>
      </c>
      <c r="C40" s="2" t="inlineStr">
        <is>
          <t>À RELEVER — les sources publiques donnent 0,25 à 0,49 €</t>
        </is>
      </c>
    </row>
    <row r="41">
      <c r="A41" s="39" t="inlineStr">
        <is>
          <t>PayPal — supplément hors zone euro</t>
        </is>
      </c>
      <c r="B41" s="51" t="n">
        <v>0.015</v>
      </c>
      <c r="C41" s="2" t="inlineStr">
        <is>
          <t>À RELEVER — s'ajoute au taux ci-dessus</t>
        </is>
      </c>
    </row>
    <row r="42">
      <c r="A42" s="39" t="inlineStr">
        <is>
          <t>Vinted et Leboncoin en main propre</t>
        </is>
      </c>
      <c r="B42" s="51" t="n">
        <v>0</v>
      </c>
      <c r="C42" s="2" t="inlineStr">
        <is>
          <t>aucune commission</t>
        </is>
      </c>
    </row>
    <row r="44">
      <c r="A44" s="39" t="inlineStr">
        <is>
          <t>Coefficient de marge — Shopify Payments</t>
        </is>
      </c>
      <c r="B44" s="77">
        <f>1-B5-B6-B37</f>
        <v/>
      </c>
      <c r="C44" s="2" t="inlineStr">
        <is>
          <t>marge = prix × ce coefficient − coût − frais fixe</t>
        </is>
      </c>
    </row>
    <row r="45">
      <c r="A45" s="39" t="inlineStr">
        <is>
          <t>Coefficient de marge — PayPal</t>
        </is>
      </c>
      <c r="B45" s="77">
        <f>1-B5-B6-B39</f>
        <v/>
      </c>
      <c r="C45" s="2" t="inlineStr">
        <is>
          <t>chaque vente encaissée par PayPal coûte ce qui manque</t>
        </is>
      </c>
    </row>
    <row r="46">
      <c r="A46" s="39" t="inlineStr">
        <is>
          <t>Coefficient de marge — hors carte</t>
        </is>
      </c>
      <c r="B46" s="77">
        <f>1-B5-B6</f>
        <v/>
      </c>
      <c r="C46" s="2" t="inlineStr">
        <is>
          <t>Leboncoin, Vinted, espèces</t>
        </is>
      </c>
    </row>
    <row r="47">
      <c r="A47" s="39" t="inlineStr">
        <is>
          <t>Écart PayPal / Shopify Payments sur une vente à 89 €</t>
        </is>
      </c>
      <c r="B47" s="55">
        <f>89*(B39-B37)+(B40-B38)</f>
        <v/>
      </c>
      <c r="C47" s="2" t="inlineStr">
        <is>
          <t>multiplié par le nombre de ventes encaissées ainsi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5" customWidth="1" min="3" max="3"/>
    <col width="16" customWidth="1" min="4" max="4"/>
    <col width="9" customWidth="1" min="5" max="5"/>
    <col width="64" customWidth="1" min="6" max="6"/>
    <col width="12" customWidth="1" min="7" max="7"/>
    <col width="15" customWidth="1" min="8" max="8"/>
    <col width="15" customWidth="1" min="9" max="9"/>
    <col width="13" customWidth="1" min="10" max="10"/>
  </cols>
  <sheetData>
    <row r="1">
      <c r="A1" s="1" t="inlineStr">
        <is>
          <t>Factures ADN — relevé intégral</t>
        </is>
      </c>
    </row>
    <row r="2">
      <c r="A2" s="2" t="inlineStr">
        <is>
          <t>Source de tous les coûts du classeur. À conserver 5 ans.</t>
        </is>
      </c>
    </row>
    <row r="4" ht="30" customHeight="1">
      <c r="A4" s="3" t="inlineStr">
        <is>
          <t>Facture</t>
        </is>
      </c>
      <c r="B4" s="3" t="inlineStr">
        <is>
          <t>Date</t>
        </is>
      </c>
      <c r="C4" s="3" t="inlineStr">
        <is>
          <t>Maison</t>
        </is>
      </c>
      <c r="D4" s="3" t="inlineStr">
        <is>
          <t>Bordereau</t>
        </is>
      </c>
      <c r="E4" s="3" t="inlineStr">
        <is>
          <t>Lot</t>
        </is>
      </c>
      <c r="F4" s="3" t="inlineStr">
        <is>
          <t>Désignation</t>
        </is>
      </c>
      <c r="G4" s="3" t="inlineStr">
        <is>
          <t>Adjugé</t>
        </is>
      </c>
      <c r="H4" s="3" t="inlineStr">
        <is>
          <t>Frais acheteur</t>
        </is>
      </c>
      <c r="I4" s="3" t="inlineStr">
        <is>
          <t>Frais plateforme</t>
        </is>
      </c>
      <c r="J4" s="3" t="inlineStr">
        <is>
          <t>Total TTC</t>
        </is>
      </c>
    </row>
    <row r="5">
      <c r="A5" s="4" t="inlineStr">
        <is>
          <t>FB2026-5844</t>
        </is>
      </c>
      <c r="B5" s="4" t="inlineStr">
        <is>
          <t>28/07/2026</t>
        </is>
      </c>
      <c r="C5" s="4" t="inlineStr">
        <is>
          <t>ADN Lyon</t>
        </is>
      </c>
      <c r="D5" s="4" t="inlineStr">
        <is>
          <t>TLE-428-5</t>
        </is>
      </c>
      <c r="E5" s="4" t="inlineStr">
        <is>
          <t>120</t>
        </is>
      </c>
      <c r="F5" s="4" t="inlineStr">
        <is>
          <t>Lot de 12 paires de tongs HAVAIANAS fuchsia 35/36 — neuf</t>
        </is>
      </c>
      <c r="G5" s="55" t="n">
        <v>80</v>
      </c>
      <c r="H5" s="55" t="n">
        <v>20.8</v>
      </c>
      <c r="I5" s="55" t="n">
        <v>0</v>
      </c>
      <c r="J5" s="55" t="n">
        <v>100.8</v>
      </c>
    </row>
    <row r="6">
      <c r="A6" s="4" t="inlineStr">
        <is>
          <t>FB2026-43717</t>
        </is>
      </c>
      <c r="B6" s="4" t="inlineStr">
        <is>
          <t>28/07/2026</t>
        </is>
      </c>
      <c r="C6" s="4" t="inlineStr">
        <is>
          <t>ADN Le Mans</t>
        </is>
      </c>
      <c r="D6" s="4" t="inlineStr">
        <is>
          <t>ADN-1708-87</t>
        </is>
      </c>
      <c r="E6" s="4" t="inlineStr">
        <is>
          <t>168</t>
        </is>
      </c>
      <c r="F6" s="4" t="inlineStr">
        <is>
          <t>Veste en jean ARMANI EXCHANGE T.S — neuve</t>
        </is>
      </c>
      <c r="G6" s="55" t="n">
        <v>20</v>
      </c>
      <c r="H6" s="55" t="n">
        <v>5.2</v>
      </c>
      <c r="I6" s="55" t="n">
        <v>0</v>
      </c>
      <c r="J6" s="55" t="n">
        <v>25.2</v>
      </c>
    </row>
    <row r="7">
      <c r="A7" s="4" t="inlineStr">
        <is>
          <t>FB2026-43717</t>
        </is>
      </c>
      <c r="B7" s="4" t="inlineStr">
        <is>
          <t>28/07/2026</t>
        </is>
      </c>
      <c r="C7" s="4" t="inlineStr">
        <is>
          <t>ADN Le Mans</t>
        </is>
      </c>
      <c r="D7" s="4" t="inlineStr">
        <is>
          <t>ADN-1708-87</t>
        </is>
      </c>
      <c r="E7" s="4" t="inlineStr">
        <is>
          <t>303</t>
        </is>
      </c>
      <c r="F7" s="4" t="inlineStr">
        <is>
          <t>Lot de 4 gilets de flottaison MRS.ERTHA 3-6 ans — neuf</t>
        </is>
      </c>
      <c r="G7" s="55" t="n">
        <v>30</v>
      </c>
      <c r="H7" s="55" t="n">
        <v>7.8</v>
      </c>
      <c r="I7" s="55" t="n">
        <v>0</v>
      </c>
      <c r="J7" s="55" t="n">
        <v>37.8</v>
      </c>
    </row>
    <row r="8">
      <c r="A8" s="4" t="inlineStr">
        <is>
          <t>FB2026-43716</t>
        </is>
      </c>
      <c r="B8" s="4" t="inlineStr">
        <is>
          <t>28/07/2026</t>
        </is>
      </c>
      <c r="C8" s="4" t="inlineStr">
        <is>
          <t>ADN Le Mans</t>
        </is>
      </c>
      <c r="D8" s="4" t="inlineStr">
        <is>
          <t>ADN-1707-5</t>
        </is>
      </c>
      <c r="E8" s="4" t="inlineStr">
        <is>
          <t>7</t>
        </is>
      </c>
      <c r="F8" s="4" t="inlineStr">
        <is>
          <t>Robe SANDRO T.40 — neuve</t>
        </is>
      </c>
      <c r="G8" s="55" t="n">
        <v>30</v>
      </c>
      <c r="H8" s="55" t="n">
        <v>7.8</v>
      </c>
      <c r="I8" s="55" t="n">
        <v>0</v>
      </c>
      <c r="J8" s="55" t="n">
        <v>37.8</v>
      </c>
    </row>
    <row r="9">
      <c r="A9" s="4" t="inlineStr">
        <is>
          <t>FB2026-43716</t>
        </is>
      </c>
      <c r="B9" s="4" t="inlineStr">
        <is>
          <t>28/07/2026</t>
        </is>
      </c>
      <c r="C9" s="4" t="inlineStr">
        <is>
          <t>ADN Le Mans</t>
        </is>
      </c>
      <c r="D9" s="4" t="inlineStr">
        <is>
          <t>ADN-1707-5</t>
        </is>
      </c>
      <c r="E9" s="4" t="inlineStr">
        <is>
          <t>103</t>
        </is>
      </c>
      <c r="F9" s="4" t="inlineStr">
        <is>
          <t>Baskets HOKA P.37 1/3 — neuves</t>
        </is>
      </c>
      <c r="G9" s="55" t="n">
        <v>50</v>
      </c>
      <c r="H9" s="55" t="n">
        <v>13</v>
      </c>
      <c r="I9" s="55" t="n">
        <v>0</v>
      </c>
      <c r="J9" s="55" t="n">
        <v>63</v>
      </c>
    </row>
    <row r="10">
      <c r="A10" s="4" t="inlineStr">
        <is>
          <t>FB2026-43716</t>
        </is>
      </c>
      <c r="B10" s="4" t="inlineStr">
        <is>
          <t>28/07/2026</t>
        </is>
      </c>
      <c r="C10" s="4" t="inlineStr">
        <is>
          <t>ADN Le Mans</t>
        </is>
      </c>
      <c r="D10" s="4" t="inlineStr">
        <is>
          <t>ADN-1707-5</t>
        </is>
      </c>
      <c r="E10" s="4" t="inlineStr">
        <is>
          <t>170</t>
        </is>
      </c>
      <c r="F10" s="4" t="inlineStr">
        <is>
          <t>Baskets NIKE Air Max Moto 2K P.44.5 — neuves</t>
        </is>
      </c>
      <c r="G10" s="55" t="n">
        <v>40</v>
      </c>
      <c r="H10" s="55" t="n">
        <v>10.4</v>
      </c>
      <c r="I10" s="55" t="n">
        <v>0</v>
      </c>
      <c r="J10" s="55" t="n">
        <v>50.4</v>
      </c>
    </row>
    <row r="11">
      <c r="A11" s="4" t="inlineStr">
        <is>
          <t>FB2026-43716</t>
        </is>
      </c>
      <c r="B11" s="4" t="inlineStr">
        <is>
          <t>28/07/2026</t>
        </is>
      </c>
      <c r="C11" s="4" t="inlineStr">
        <is>
          <t>ADN Le Mans</t>
        </is>
      </c>
      <c r="D11" s="4" t="inlineStr">
        <is>
          <t>ADN-1707-5</t>
        </is>
      </c>
      <c r="E11" s="4" t="inlineStr">
        <is>
          <t>191</t>
        </is>
      </c>
      <c r="F11" s="4" t="inlineStr">
        <is>
          <t>Chaussures HOGAN P.36 — traces d'essayage</t>
        </is>
      </c>
      <c r="G11" s="55" t="n">
        <v>10</v>
      </c>
      <c r="H11" s="55" t="n">
        <v>2.6</v>
      </c>
      <c r="I11" s="55" t="n">
        <v>0</v>
      </c>
      <c r="J11" s="55" t="n">
        <v>12.6</v>
      </c>
    </row>
    <row r="12">
      <c r="A12" s="4" t="inlineStr">
        <is>
          <t>FB2026-43716</t>
        </is>
      </c>
      <c r="B12" s="4" t="inlineStr">
        <is>
          <t>28/07/2026</t>
        </is>
      </c>
      <c r="C12" s="4" t="inlineStr">
        <is>
          <t>ADN Le Mans</t>
        </is>
      </c>
      <c r="D12" s="4" t="inlineStr">
        <is>
          <t>ADN-1707-5</t>
        </is>
      </c>
      <c r="E12" s="4" t="inlineStr">
        <is>
          <t>199</t>
        </is>
      </c>
      <c r="F12" s="4" t="inlineStr">
        <is>
          <t>NEW BALANCE G19064IK Alkaline Green P.38½ — neuves avec boîte</t>
        </is>
      </c>
      <c r="G12" s="55" t="n">
        <v>60</v>
      </c>
      <c r="H12" s="55" t="n">
        <v>15.6</v>
      </c>
      <c r="I12" s="55" t="n">
        <v>0</v>
      </c>
      <c r="J12" s="55" t="n">
        <v>75.59999999999999</v>
      </c>
    </row>
    <row r="13">
      <c r="A13" s="4" t="inlineStr">
        <is>
          <t>FB2026-43716</t>
        </is>
      </c>
      <c r="B13" s="4" t="inlineStr">
        <is>
          <t>28/07/2026</t>
        </is>
      </c>
      <c r="C13" s="4" t="inlineStr">
        <is>
          <t>ADN Le Mans</t>
        </is>
      </c>
      <c r="D13" s="4" t="inlineStr">
        <is>
          <t>ADN-1707-5</t>
        </is>
      </c>
      <c r="E13" s="4" t="inlineStr">
        <is>
          <t>357</t>
        </is>
      </c>
      <c r="F13" s="4" t="inlineStr">
        <is>
          <t>Lot de 2 paires ADIDAS Predator Edge P.48 2/3 — neuves</t>
        </is>
      </c>
      <c r="G13" s="55" t="n">
        <v>30</v>
      </c>
      <c r="H13" s="55" t="n">
        <v>7.8</v>
      </c>
      <c r="I13" s="55" t="n">
        <v>0</v>
      </c>
      <c r="J13" s="55" t="n">
        <v>37.8</v>
      </c>
    </row>
    <row r="14">
      <c r="A14" s="4" t="inlineStr">
        <is>
          <t>FB2026-43716</t>
        </is>
      </c>
      <c r="B14" s="4" t="inlineStr">
        <is>
          <t>28/07/2026</t>
        </is>
      </c>
      <c r="C14" s="4" t="inlineStr">
        <is>
          <t>ADN Le Mans</t>
        </is>
      </c>
      <c r="D14" s="4" t="inlineStr">
        <is>
          <t>ADN-1707-5</t>
        </is>
      </c>
      <c r="E14" s="4" t="inlineStr">
        <is>
          <t>408</t>
        </is>
      </c>
      <c r="F14" s="4" t="inlineStr">
        <is>
          <t>Short BA&amp;SH Fegor T.34 — neuf</t>
        </is>
      </c>
      <c r="G14" s="55" t="n">
        <v>40</v>
      </c>
      <c r="H14" s="55" t="n">
        <v>10.4</v>
      </c>
      <c r="I14" s="55" t="n">
        <v>0</v>
      </c>
      <c r="J14" s="55" t="n">
        <v>50.4</v>
      </c>
    </row>
    <row r="15">
      <c r="A15" s="4" t="inlineStr">
        <is>
          <t>FB2026-43716</t>
        </is>
      </c>
      <c r="B15" s="4" t="inlineStr">
        <is>
          <t>28/07/2026</t>
        </is>
      </c>
      <c r="C15" s="4" t="inlineStr">
        <is>
          <t>ADN Le Mans</t>
        </is>
      </c>
      <c r="D15" s="4" t="inlineStr">
        <is>
          <t>ADN-1707-5</t>
        </is>
      </c>
      <c r="E15" s="4" t="inlineStr">
        <is>
          <t>417</t>
        </is>
      </c>
      <c r="F15" s="4" t="inlineStr">
        <is>
          <t>Jupe midi SONIA RYKIEL T.34 — neuve</t>
        </is>
      </c>
      <c r="G15" s="55" t="n">
        <v>30</v>
      </c>
      <c r="H15" s="55" t="n">
        <v>7.8</v>
      </c>
      <c r="I15" s="55" t="n">
        <v>0</v>
      </c>
      <c r="J15" s="55" t="n">
        <v>37.8</v>
      </c>
    </row>
    <row r="16">
      <c r="A16" s="4" t="inlineStr">
        <is>
          <t>FB2026-43716</t>
        </is>
      </c>
      <c r="B16" s="4" t="inlineStr">
        <is>
          <t>28/07/2026</t>
        </is>
      </c>
      <c r="C16" s="4" t="inlineStr">
        <is>
          <t>ADN Le Mans</t>
        </is>
      </c>
      <c r="D16" s="4" t="inlineStr">
        <is>
          <t>ADN-1707-5</t>
        </is>
      </c>
      <c r="E16" s="4" t="inlineStr">
        <is>
          <t>431</t>
        </is>
      </c>
      <c r="F16" s="4" t="inlineStr">
        <is>
          <t>Sac demi-lune nylon noir KARL LAGERFELD JEANS — neuf avec étiquette</t>
        </is>
      </c>
      <c r="G16" s="55" t="n">
        <v>40</v>
      </c>
      <c r="H16" s="55" t="n">
        <v>10.4</v>
      </c>
      <c r="I16" s="55" t="n">
        <v>0</v>
      </c>
      <c r="J16" s="55" t="n">
        <v>50.4</v>
      </c>
    </row>
    <row r="17">
      <c r="A17" s="4" t="inlineStr">
        <is>
          <t>FB2026-43716</t>
        </is>
      </c>
      <c r="B17" s="4" t="inlineStr">
        <is>
          <t>28/07/2026</t>
        </is>
      </c>
      <c r="C17" s="4" t="inlineStr">
        <is>
          <t>ADN Le Mans</t>
        </is>
      </c>
      <c r="D17" s="4" t="inlineStr">
        <is>
          <t>ADN-1707-5</t>
        </is>
      </c>
      <c r="E17" s="4" t="inlineStr">
        <is>
          <t>434</t>
        </is>
      </c>
      <c r="F17" s="4" t="inlineStr">
        <is>
          <t>ADIDAS x STELLA McCARTNEY ASMC Ultraboost 21 P.36 — modèle d'exposition</t>
        </is>
      </c>
      <c r="G17" s="55" t="n">
        <v>30</v>
      </c>
      <c r="H17" s="55" t="n">
        <v>7.8</v>
      </c>
      <c r="I17" s="55" t="n">
        <v>0</v>
      </c>
      <c r="J17" s="55" t="n">
        <v>37.8</v>
      </c>
    </row>
    <row r="18">
      <c r="A18" s="4" t="inlineStr">
        <is>
          <t>FB2026-43716</t>
        </is>
      </c>
      <c r="B18" s="4" t="inlineStr">
        <is>
          <t>28/07/2026</t>
        </is>
      </c>
      <c r="C18" s="4" t="inlineStr">
        <is>
          <t>ADN Le Mans</t>
        </is>
      </c>
      <c r="D18" s="4" t="inlineStr">
        <is>
          <t>ADN-1707-5</t>
        </is>
      </c>
      <c r="E18" s="4" t="inlineStr">
        <is>
          <t>439</t>
        </is>
      </c>
      <c r="F18" s="4" t="inlineStr">
        <is>
          <t>Ballerines MASSIMO DUTTI P.41 — traces d'essayage</t>
        </is>
      </c>
      <c r="G18" s="55" t="n">
        <v>20</v>
      </c>
      <c r="H18" s="55" t="n">
        <v>5.2</v>
      </c>
      <c r="I18" s="55" t="n">
        <v>0</v>
      </c>
      <c r="J18" s="55" t="n">
        <v>25.2</v>
      </c>
    </row>
    <row r="19">
      <c r="A19" s="4" t="inlineStr">
        <is>
          <t>FB2026-6023</t>
        </is>
      </c>
      <c r="B19" s="4" t="inlineStr">
        <is>
          <t>03/08/2026</t>
        </is>
      </c>
      <c r="C19" s="4" t="inlineStr">
        <is>
          <t>ADN Lyon</t>
        </is>
      </c>
      <c r="D19" s="4" t="inlineStr">
        <is>
          <t>TLE-433-22</t>
        </is>
      </c>
      <c r="E19" s="4" t="inlineStr">
        <is>
          <t>114</t>
        </is>
      </c>
      <c r="F19" s="4" t="inlineStr">
        <is>
          <t>NEW BALANCE sneakers P.38 — neuves</t>
        </is>
      </c>
      <c r="G19" s="55" t="n">
        <v>30</v>
      </c>
      <c r="H19" s="55" t="n">
        <v>7.8</v>
      </c>
      <c r="I19" s="55" t="n">
        <v>0.54</v>
      </c>
      <c r="J19" s="55" t="n">
        <v>38.34</v>
      </c>
    </row>
    <row r="20">
      <c r="A20" s="4" t="inlineStr">
        <is>
          <t>FB2026-6023</t>
        </is>
      </c>
      <c r="B20" s="4" t="inlineStr">
        <is>
          <t>03/08/2026</t>
        </is>
      </c>
      <c r="C20" s="4" t="inlineStr">
        <is>
          <t>ADN Lyon</t>
        </is>
      </c>
      <c r="D20" s="4" t="inlineStr">
        <is>
          <t>TLE-433-22</t>
        </is>
      </c>
      <c r="E20" s="4" t="inlineStr">
        <is>
          <t>141</t>
        </is>
      </c>
      <c r="F20" s="4" t="inlineStr">
        <is>
          <t>LACOSTE sneakers P.42 — neuves</t>
        </is>
      </c>
      <c r="G20" s="55" t="n">
        <v>45</v>
      </c>
      <c r="H20" s="55" t="n">
        <v>11.7</v>
      </c>
      <c r="I20" s="55" t="n">
        <v>0.8100000000000001</v>
      </c>
      <c r="J20" s="55" t="n">
        <v>57.51</v>
      </c>
    </row>
    <row r="21">
      <c r="A21" s="4" t="inlineStr">
        <is>
          <t>FB2026-6023</t>
        </is>
      </c>
      <c r="B21" s="4" t="inlineStr">
        <is>
          <t>03/08/2026</t>
        </is>
      </c>
      <c r="C21" s="4" t="inlineStr">
        <is>
          <t>ADN Lyon</t>
        </is>
      </c>
      <c r="D21" s="4" t="inlineStr">
        <is>
          <t>TLE-433-22</t>
        </is>
      </c>
      <c r="E21" s="4" t="inlineStr">
        <is>
          <t>150</t>
        </is>
      </c>
      <c r="F21" s="4" t="inlineStr">
        <is>
          <t>EMPORIO ARMANI baskets P.36 — neuves</t>
        </is>
      </c>
      <c r="G21" s="55" t="n">
        <v>40</v>
      </c>
      <c r="H21" s="55" t="n">
        <v>10.4</v>
      </c>
      <c r="I21" s="55" t="n">
        <v>0.72</v>
      </c>
      <c r="J21" s="55" t="n">
        <v>51.12</v>
      </c>
    </row>
    <row r="22">
      <c r="A22" s="4" t="inlineStr">
        <is>
          <t>FB2026-6023</t>
        </is>
      </c>
      <c r="B22" s="4" t="inlineStr">
        <is>
          <t>03/08/2026</t>
        </is>
      </c>
      <c r="C22" s="4" t="inlineStr">
        <is>
          <t>ADN Lyon</t>
        </is>
      </c>
      <c r="D22" s="4" t="inlineStr">
        <is>
          <t>TLE-433-22</t>
        </is>
      </c>
      <c r="E22" s="4" t="inlineStr">
        <is>
          <t>155</t>
        </is>
      </c>
      <c r="F22" s="4" t="inlineStr">
        <is>
          <t>GEOX baskets P.35 — neuves</t>
        </is>
      </c>
      <c r="G22" s="55" t="n">
        <v>17</v>
      </c>
      <c r="H22" s="55" t="n">
        <v>4.42</v>
      </c>
      <c r="I22" s="55" t="n">
        <v>0.31</v>
      </c>
      <c r="J22" s="55" t="n">
        <v>21.73</v>
      </c>
    </row>
    <row r="23">
      <c r="A23" s="4" t="inlineStr">
        <is>
          <t>FB2026-6023</t>
        </is>
      </c>
      <c r="B23" s="4" t="inlineStr">
        <is>
          <t>03/08/2026</t>
        </is>
      </c>
      <c r="C23" s="4" t="inlineStr">
        <is>
          <t>ADN Lyon</t>
        </is>
      </c>
      <c r="D23" s="4" t="inlineStr">
        <is>
          <t>TLE-433-22</t>
        </is>
      </c>
      <c r="E23" s="4" t="inlineStr">
        <is>
          <t>156</t>
        </is>
      </c>
      <c r="F23" s="4" t="inlineStr">
        <is>
          <t>NEW BALANCE baskets montantes P.44 — neuves</t>
        </is>
      </c>
      <c r="G23" s="55" t="n">
        <v>40</v>
      </c>
      <c r="H23" s="55" t="n">
        <v>10.4</v>
      </c>
      <c r="I23" s="55" t="n">
        <v>0.72</v>
      </c>
      <c r="J23" s="55" t="n">
        <v>51.12</v>
      </c>
    </row>
    <row r="24">
      <c r="A24" s="4" t="inlineStr">
        <is>
          <t>FB2026-6023</t>
        </is>
      </c>
      <c r="B24" s="4" t="inlineStr">
        <is>
          <t>03/08/2026</t>
        </is>
      </c>
      <c r="C24" s="4" t="inlineStr">
        <is>
          <t>ADN Lyon</t>
        </is>
      </c>
      <c r="D24" s="4" t="inlineStr">
        <is>
          <t>TLE-433-22</t>
        </is>
      </c>
      <c r="E24" s="4" t="inlineStr">
        <is>
          <t>158</t>
        </is>
      </c>
      <c r="F24" s="4" t="inlineStr">
        <is>
          <t>TOMMY JEANS baskets basses P.40 — neuves</t>
        </is>
      </c>
      <c r="G24" s="55" t="n">
        <v>41</v>
      </c>
      <c r="H24" s="55" t="n">
        <v>10.66</v>
      </c>
      <c r="I24" s="55" t="n">
        <v>0.74</v>
      </c>
      <c r="J24" s="55" t="n">
        <v>52.4</v>
      </c>
    </row>
    <row r="25">
      <c r="A25" s="4" t="inlineStr">
        <is>
          <t>FB2026-6023</t>
        </is>
      </c>
      <c r="B25" s="4" t="inlineStr">
        <is>
          <t>03/08/2026</t>
        </is>
      </c>
      <c r="C25" s="4" t="inlineStr">
        <is>
          <t>ADN Lyon</t>
        </is>
      </c>
      <c r="D25" s="4" t="inlineStr">
        <is>
          <t>TLE-433-22</t>
        </is>
      </c>
      <c r="E25" s="4" t="inlineStr">
        <is>
          <t>159</t>
        </is>
      </c>
      <c r="F25" s="4" t="inlineStr">
        <is>
          <t>PHILIPP PLEIN SPORT baskets montantes P.40 — neuves</t>
        </is>
      </c>
      <c r="G25" s="55" t="n">
        <v>45</v>
      </c>
      <c r="H25" s="55" t="n">
        <v>11.7</v>
      </c>
      <c r="I25" s="55" t="n">
        <v>0.8100000000000001</v>
      </c>
      <c r="J25" s="55" t="n">
        <v>57.51</v>
      </c>
    </row>
    <row r="26">
      <c r="A26" s="4" t="inlineStr">
        <is>
          <t>FB2026-5996</t>
        </is>
      </c>
      <c r="B26" s="4" t="inlineStr">
        <is>
          <t>03/08/2026</t>
        </is>
      </c>
      <c r="C26" s="4" t="inlineStr">
        <is>
          <t>ADN Lyon</t>
        </is>
      </c>
      <c r="D26" s="4" t="inlineStr">
        <is>
          <t>TLE-429-32</t>
        </is>
      </c>
      <c r="E26" s="4" t="inlineStr">
        <is>
          <t>29</t>
        </is>
      </c>
      <c r="F26" s="4" t="inlineStr">
        <is>
          <t>PIER ANTONIO GASPARI robe droite bleu marine T.42 — neuve</t>
        </is>
      </c>
      <c r="G26" s="55" t="n">
        <v>20</v>
      </c>
      <c r="H26" s="55" t="n">
        <v>5.2</v>
      </c>
      <c r="I26" s="55" t="n">
        <v>0.36</v>
      </c>
      <c r="J26" s="55" t="n">
        <v>25.56</v>
      </c>
    </row>
    <row r="27">
      <c r="A27" s="4" t="inlineStr">
        <is>
          <t>FB2026-5996</t>
        </is>
      </c>
      <c r="B27" s="4" t="inlineStr">
        <is>
          <t>03/08/2026</t>
        </is>
      </c>
      <c r="C27" s="4" t="inlineStr">
        <is>
          <t>ADN Lyon</t>
        </is>
      </c>
      <c r="D27" s="4" t="inlineStr">
        <is>
          <t>TLE-429-32</t>
        </is>
      </c>
      <c r="E27" s="4" t="inlineStr">
        <is>
          <t>32</t>
        </is>
      </c>
      <c r="F27" s="4" t="inlineStr">
        <is>
          <t>ELISABETTA FRANCHI robe asymétrique viscose T.46 IT — neuve</t>
        </is>
      </c>
      <c r="G27" s="55" t="n">
        <v>16</v>
      </c>
      <c r="H27" s="55" t="n">
        <v>4.16</v>
      </c>
      <c r="I27" s="55" t="n">
        <v>0.29</v>
      </c>
      <c r="J27" s="55" t="n">
        <v>20.45</v>
      </c>
    </row>
    <row r="28">
      <c r="A28" s="4" t="inlineStr">
        <is>
          <t>FB2026-5996</t>
        </is>
      </c>
      <c r="B28" s="4" t="inlineStr">
        <is>
          <t>03/08/2026</t>
        </is>
      </c>
      <c r="C28" s="4" t="inlineStr">
        <is>
          <t>ADN Lyon</t>
        </is>
      </c>
      <c r="D28" s="4" t="inlineStr">
        <is>
          <t>TLE-429-32</t>
        </is>
      </c>
      <c r="E28" s="4" t="inlineStr">
        <is>
          <t>123</t>
        </is>
      </c>
      <c r="F28" s="4" t="inlineStr">
        <is>
          <t>CHIARA FERRAGNI robe bustier courte T.M — neuve</t>
        </is>
      </c>
      <c r="G28" s="55" t="n">
        <v>25</v>
      </c>
      <c r="H28" s="55" t="n">
        <v>6.5</v>
      </c>
      <c r="I28" s="55" t="n">
        <v>0.45</v>
      </c>
      <c r="J28" s="55" t="n">
        <v>31.95</v>
      </c>
    </row>
    <row r="29">
      <c r="A29" s="4" t="inlineStr">
        <is>
          <t>FB2026-44192</t>
        </is>
      </c>
      <c r="B29" s="4" t="inlineStr">
        <is>
          <t>03/08/2026</t>
        </is>
      </c>
      <c r="C29" s="4" t="inlineStr">
        <is>
          <t>ADN Le Mans</t>
        </is>
      </c>
      <c r="D29" s="4" t="inlineStr">
        <is>
          <t>ADN-1711-8</t>
        </is>
      </c>
      <c r="E29" s="4" t="inlineStr">
        <is>
          <t>11</t>
        </is>
      </c>
      <c r="F29" s="4" t="inlineStr">
        <is>
          <t>SALOMON X Ultra 5 Mid GTX P.44 — neuves</t>
        </is>
      </c>
      <c r="G29" s="55" t="n">
        <v>60</v>
      </c>
      <c r="H29" s="55" t="n">
        <v>15.6</v>
      </c>
      <c r="I29" s="55" t="n">
        <v>1.08</v>
      </c>
      <c r="J29" s="55" t="n">
        <v>76.68000000000001</v>
      </c>
    </row>
    <row r="30">
      <c r="A30" s="4" t="inlineStr">
        <is>
          <t>FB2026-44192</t>
        </is>
      </c>
      <c r="B30" s="4" t="inlineStr">
        <is>
          <t>03/08/2026</t>
        </is>
      </c>
      <c r="C30" s="4" t="inlineStr">
        <is>
          <t>ADN Le Mans</t>
        </is>
      </c>
      <c r="D30" s="4" t="inlineStr">
        <is>
          <t>ADN-1711-8</t>
        </is>
      </c>
      <c r="E30" s="4" t="inlineStr">
        <is>
          <t>159</t>
        </is>
      </c>
      <c r="F30" s="4" t="inlineStr">
        <is>
          <t>Lot de 4 toupies BEYBLADE HASBRO</t>
        </is>
      </c>
      <c r="G30" s="55" t="n">
        <v>15</v>
      </c>
      <c r="H30" s="55" t="n">
        <v>3.9</v>
      </c>
      <c r="I30" s="55" t="n">
        <v>0.27</v>
      </c>
      <c r="J30" s="55" t="n">
        <v>19.17</v>
      </c>
    </row>
    <row r="31">
      <c r="A31" s="4" t="inlineStr">
        <is>
          <t>FB2026-44192</t>
        </is>
      </c>
      <c r="B31" s="4" t="inlineStr">
        <is>
          <t>03/08/2026</t>
        </is>
      </c>
      <c r="C31" s="4" t="inlineStr">
        <is>
          <t>ADN Le Mans</t>
        </is>
      </c>
      <c r="D31" s="4" t="inlineStr">
        <is>
          <t>ADN-1711-8</t>
        </is>
      </c>
      <c r="E31" s="4" t="inlineStr">
        <is>
          <t>299</t>
        </is>
      </c>
      <c r="F31" s="4" t="inlineStr">
        <is>
          <t>Lot de 4 toupies BEYBLADE HASBRO</t>
        </is>
      </c>
      <c r="G31" s="55" t="n">
        <v>30</v>
      </c>
      <c r="H31" s="55" t="n">
        <v>7.8</v>
      </c>
      <c r="I31" s="55" t="n">
        <v>0.54</v>
      </c>
      <c r="J31" s="55" t="n">
        <v>38.34</v>
      </c>
    </row>
    <row r="32">
      <c r="A32" s="4" t="inlineStr">
        <is>
          <t>FB2026-44194</t>
        </is>
      </c>
      <c r="B32" s="4" t="inlineStr">
        <is>
          <t>03/08/2026</t>
        </is>
      </c>
      <c r="C32" s="4" t="inlineStr">
        <is>
          <t>ADN Le Mans</t>
        </is>
      </c>
      <c r="D32" s="4" t="inlineStr">
        <is>
          <t>ADN-1712-6</t>
        </is>
      </c>
      <c r="E32" s="4" t="inlineStr">
        <is>
          <t>9</t>
        </is>
      </c>
      <c r="F32" s="4" t="inlineStr">
        <is>
          <t>T-shirt BALENCIAGA T.2 — neuf</t>
        </is>
      </c>
      <c r="G32" s="55" t="n">
        <v>90</v>
      </c>
      <c r="H32" s="55" t="n">
        <v>23.4</v>
      </c>
      <c r="I32" s="55" t="n">
        <v>0</v>
      </c>
      <c r="J32" s="55" t="n">
        <v>113.4</v>
      </c>
    </row>
    <row r="33">
      <c r="A33" s="4" t="inlineStr">
        <is>
          <t>FB2026-44194</t>
        </is>
      </c>
      <c r="B33" s="4" t="inlineStr">
        <is>
          <t>03/08/2026</t>
        </is>
      </c>
      <c r="C33" s="4" t="inlineStr">
        <is>
          <t>ADN Le Mans</t>
        </is>
      </c>
      <c r="D33" s="4" t="inlineStr">
        <is>
          <t>ADN-1712-6</t>
        </is>
      </c>
      <c r="E33" s="4" t="inlineStr">
        <is>
          <t>229</t>
        </is>
      </c>
      <c r="F33" s="4" t="inlineStr">
        <is>
          <t>Blazer noir KARL LAGERFELD T.36 FR — neuf avec étiquette</t>
        </is>
      </c>
      <c r="G33" s="55" t="n">
        <v>40</v>
      </c>
      <c r="H33" s="55" t="n">
        <v>10.4</v>
      </c>
      <c r="I33" s="55" t="n">
        <v>0</v>
      </c>
      <c r="J33" s="55" t="n">
        <v>50.4</v>
      </c>
    </row>
    <row r="34">
      <c r="A34" s="4" t="inlineStr">
        <is>
          <t>FB2026-46056</t>
        </is>
      </c>
      <c r="B34" s="4" t="inlineStr">
        <is>
          <t>10/08/2026</t>
        </is>
      </c>
      <c r="C34" s="4" t="inlineStr">
        <is>
          <t>ADN Le Mans</t>
        </is>
      </c>
      <c r="D34" s="4" t="inlineStr">
        <is>
          <t>ADN-1743-6</t>
        </is>
      </c>
      <c r="E34" s="4" t="inlineStr">
        <is>
          <t>8</t>
        </is>
      </c>
      <c r="F34" s="4" t="inlineStr">
        <is>
          <t>ADIDAS Yeezy 700 V3 Mono Safflower T.38 — occasion</t>
        </is>
      </c>
      <c r="G34" s="55" t="n">
        <v>50</v>
      </c>
      <c r="H34" s="55" t="n">
        <v>13</v>
      </c>
      <c r="I34" s="55" t="n">
        <v>0</v>
      </c>
      <c r="J34" s="55" t="n">
        <v>63</v>
      </c>
    </row>
    <row r="35">
      <c r="A35" s="4" t="inlineStr">
        <is>
          <t>FB2026-46056</t>
        </is>
      </c>
      <c r="B35" s="4" t="inlineStr">
        <is>
          <t>10/08/2026</t>
        </is>
      </c>
      <c r="C35" s="4" t="inlineStr">
        <is>
          <t>ADN Le Mans</t>
        </is>
      </c>
      <c r="D35" s="4" t="inlineStr">
        <is>
          <t>ADN-1743-6</t>
        </is>
      </c>
      <c r="E35" s="4" t="inlineStr">
        <is>
          <t>279</t>
        </is>
      </c>
      <c r="F35" s="4" t="inlineStr">
        <is>
          <t>Lot de 6 vêtements femme MORGAN T.40 et L — neuf</t>
        </is>
      </c>
      <c r="G35" s="55" t="n">
        <v>30</v>
      </c>
      <c r="H35" s="55" t="n">
        <v>7.8</v>
      </c>
      <c r="I35" s="55" t="n">
        <v>0</v>
      </c>
      <c r="J35" s="55" t="n">
        <v>37.8</v>
      </c>
    </row>
    <row r="36">
      <c r="A36" s="4" t="inlineStr">
        <is>
          <t>FB2026-46058</t>
        </is>
      </c>
      <c r="B36" s="4" t="inlineStr">
        <is>
          <t>10/08/2026</t>
        </is>
      </c>
      <c r="C36" s="4" t="inlineStr">
        <is>
          <t>ADN Le Mans</t>
        </is>
      </c>
      <c r="D36" s="4" t="inlineStr">
        <is>
          <t>ADN-1716-91</t>
        </is>
      </c>
      <c r="E36" s="4" t="inlineStr">
        <is>
          <t>162</t>
        </is>
      </c>
      <c r="F36" s="4" t="inlineStr">
        <is>
          <t>Demi-bottes FORMA Legacy Waterproof T.45 noir — neuves</t>
        </is>
      </c>
      <c r="G36" s="55" t="n">
        <v>50</v>
      </c>
      <c r="H36" s="55" t="n">
        <v>13</v>
      </c>
      <c r="I36" s="55" t="n">
        <v>0</v>
      </c>
      <c r="J36" s="55" t="n">
        <v>63</v>
      </c>
    </row>
    <row r="37">
      <c r="A37" s="4" t="inlineStr">
        <is>
          <t>FB2026-46060</t>
        </is>
      </c>
      <c r="B37" s="4" t="inlineStr">
        <is>
          <t>10/08/2026</t>
        </is>
      </c>
      <c r="C37" s="4" t="inlineStr">
        <is>
          <t>ADN Le Mans</t>
        </is>
      </c>
      <c r="D37" s="4" t="inlineStr">
        <is>
          <t>ADN-1727-194</t>
        </is>
      </c>
      <c r="E37" s="4" t="inlineStr">
        <is>
          <t>1350</t>
        </is>
      </c>
      <c r="F37" s="4" t="inlineStr">
        <is>
          <t>Combinaison de pluie BMW Overall ProRain unisexe XL — neuve</t>
        </is>
      </c>
      <c r="G37" s="55" t="n">
        <v>60</v>
      </c>
      <c r="H37" s="55" t="n">
        <v>8.57</v>
      </c>
      <c r="I37" s="55" t="n">
        <v>0</v>
      </c>
      <c r="J37" s="55" t="n">
        <v>68.56999999999999</v>
      </c>
    </row>
    <row r="38">
      <c r="A38" s="4" t="inlineStr">
        <is>
          <t>FB2026-6354</t>
        </is>
      </c>
      <c r="B38" s="4" t="inlineStr">
        <is>
          <t>11/08/2026</t>
        </is>
      </c>
      <c r="C38" s="4" t="inlineStr">
        <is>
          <t>ADN Lyon</t>
        </is>
      </c>
      <c r="D38" s="4" t="inlineStr">
        <is>
          <t>TLE-442-121</t>
        </is>
      </c>
      <c r="E38" s="4" t="inlineStr">
        <is>
          <t>388</t>
        </is>
      </c>
      <c r="F38" s="4" t="inlineStr">
        <is>
          <t>Lot de 20 paires de sandales et tongs RELIFE / TOMMY JEANS — neuf</t>
        </is>
      </c>
      <c r="G38" s="55" t="n">
        <v>45</v>
      </c>
      <c r="H38" s="55" t="n">
        <v>11.7</v>
      </c>
      <c r="I38" s="55" t="n">
        <v>0</v>
      </c>
      <c r="J38" s="55" t="n">
        <v>56.7</v>
      </c>
    </row>
    <row r="39">
      <c r="A39" s="35" t="n"/>
      <c r="B39" s="35" t="n"/>
      <c r="C39" s="35" t="n"/>
      <c r="D39" s="35" t="n"/>
      <c r="E39" s="35" t="n"/>
      <c r="F39" s="33" t="inlineStr">
        <is>
          <t>TOTAL MARCHANDISE</t>
        </is>
      </c>
      <c r="G39" s="69">
        <f>SUM(G5:G38)</f>
        <v/>
      </c>
      <c r="H39" s="69">
        <f>SUM(H5:H38)</f>
        <v/>
      </c>
      <c r="I39" s="69">
        <f>SUM(I5:I38)</f>
        <v/>
      </c>
      <c r="J39" s="69">
        <f>SUM(J5:J38)</f>
        <v/>
      </c>
    </row>
    <row r="41">
      <c r="A41" s="38" t="inlineStr">
        <is>
          <t>FACTURES DE LIVRAISON</t>
        </is>
      </c>
    </row>
    <row r="42">
      <c r="A42" s="53" t="inlineStr">
        <is>
          <t>Facture</t>
        </is>
      </c>
      <c r="B42" s="53" t="inlineStr">
        <is>
          <t>Date</t>
        </is>
      </c>
      <c r="C42" s="53" t="inlineStr">
        <is>
          <t>Maison</t>
        </is>
      </c>
      <c r="D42" s="53" t="inlineStr">
        <is>
          <t>Commande</t>
        </is>
      </c>
      <c r="E42" s="53" t="inlineStr">
        <is>
          <t>Désignation</t>
        </is>
      </c>
      <c r="F42" s="53" t="inlineStr">
        <is>
          <t>Total TTC</t>
        </is>
      </c>
    </row>
    <row r="43">
      <c r="A43" s="4" t="inlineStr">
        <is>
          <t>FF2026-4060</t>
        </is>
      </c>
      <c r="B43" s="4" t="inlineStr">
        <is>
          <t>28/07/2026</t>
        </is>
      </c>
      <c r="C43" s="4" t="inlineStr">
        <is>
          <t>ADN Lyon</t>
        </is>
      </c>
      <c r="D43" s="4" t="inlineStr">
        <is>
          <t>TLE-C26638</t>
        </is>
      </c>
      <c r="E43" s="4" t="inlineStr">
        <is>
          <t>Colissimo Point Relais — assurance et signature</t>
        </is>
      </c>
      <c r="F43" s="55" t="n">
        <v>19.9</v>
      </c>
    </row>
    <row r="44">
      <c r="A44" s="4" t="inlineStr">
        <is>
          <t>FF2026-4146</t>
        </is>
      </c>
      <c r="B44" s="4" t="inlineStr">
        <is>
          <t>03/08/2026</t>
        </is>
      </c>
      <c r="C44" s="4" t="inlineStr">
        <is>
          <t>ADN Lyon</t>
        </is>
      </c>
      <c r="D44" s="4" t="inlineStr">
        <is>
          <t>TLE-C26827</t>
        </is>
      </c>
      <c r="E44" s="4" t="inlineStr">
        <is>
          <t>Colissimo Point Relais — assurance et signature</t>
        </is>
      </c>
      <c r="F44" s="55" t="n">
        <v>18.22</v>
      </c>
    </row>
    <row r="45">
      <c r="A45" s="4" t="inlineStr">
        <is>
          <t>FF2026-4160</t>
        </is>
      </c>
      <c r="B45" s="4" t="inlineStr">
        <is>
          <t>03/08/2026</t>
        </is>
      </c>
      <c r="C45" s="4" t="inlineStr">
        <is>
          <t>ADN Lyon</t>
        </is>
      </c>
      <c r="D45" s="4" t="inlineStr">
        <is>
          <t>TLE-C26851</t>
        </is>
      </c>
      <c r="E45" s="4" t="inlineStr">
        <is>
          <t>Colissimo Point Relais — assurance et signature</t>
        </is>
      </c>
      <c r="F45" s="55" t="n">
        <v>29.94</v>
      </c>
    </row>
    <row r="46">
      <c r="A46" s="4" t="inlineStr">
        <is>
          <t>FF2026-32305</t>
        </is>
      </c>
      <c r="B46" s="4" t="inlineStr">
        <is>
          <t>10/08/2026</t>
        </is>
      </c>
      <c r="C46" s="4" t="inlineStr">
        <is>
          <t>ADN Le Mans</t>
        </is>
      </c>
      <c r="D46" s="4" t="inlineStr">
        <is>
          <t>ADN-C208494</t>
        </is>
      </c>
      <c r="E46" s="4" t="inlineStr">
        <is>
          <t>Colissimo Point Relais</t>
        </is>
      </c>
      <c r="F46" s="55" t="n">
        <v>15.72</v>
      </c>
    </row>
    <row r="47">
      <c r="A47" s="4" t="inlineStr">
        <is>
          <t>FF2026-4456</t>
        </is>
      </c>
      <c r="B47" s="4" t="inlineStr">
        <is>
          <t>12/08/2026</t>
        </is>
      </c>
      <c r="C47" s="4" t="inlineStr">
        <is>
          <t>ADN Lyon</t>
        </is>
      </c>
      <c r="D47" s="4" t="inlineStr">
        <is>
          <t>TLE-C27429</t>
        </is>
      </c>
      <c r="E47" s="4" t="inlineStr">
        <is>
          <t>Colissimo Point Relais — assurance et signature</t>
        </is>
      </c>
      <c r="F47" s="55" t="n">
        <v>44.02</v>
      </c>
    </row>
    <row r="48">
      <c r="A48" s="35" t="n"/>
      <c r="B48" s="35" t="n"/>
      <c r="C48" s="35" t="n"/>
      <c r="D48" s="35" t="n"/>
      <c r="E48" s="33" t="inlineStr">
        <is>
          <t>TOTAL LIVRAISON</t>
        </is>
      </c>
      <c r="F48" s="69">
        <f>SUM(F43:F47)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2026-08-15T10:03:30Z</dcterms:created>
  <dcterms:modified xmlns:dcterms="http://purl.org/dc/terms/" xmlns:xsi="http://www.w3.org/2001/XMLSchema-instance" xsi:type="dcterms:W3CDTF">2026-10-19T14:34:03Z</dcterms:modified>
</cp:coreProperties>
</file>