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 &quot;€&quot;"/>
    <numFmt numFmtId="166" formatCode="#,##0 &quot;art.&quot;"/>
    <numFmt numFmtId="167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0" fillId="0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13" t="inlineStr">
        <is>
          <t>Lot de 12 paires de tongs HAVAIANAS fuchsia 35/36 — neuf</t>
        </is>
      </c>
      <c r="B9" s="14" t="n">
        <v>100.8</v>
      </c>
      <c r="C9" s="15">
        <f>$B9+$Y9*Paramètres!$B$13</f>
        <v/>
      </c>
      <c r="D9" s="16">
        <f>$C9/(1-Paramètres!$B$5-Paramètres!$B$6)</f>
        <v/>
      </c>
      <c r="E9" s="15">
        <f>CEILING($D9*Paramètres!$B$24,1)</f>
        <v/>
      </c>
      <c r="F9" s="17" t="n">
        <v>208</v>
      </c>
      <c r="G9" s="17">
        <f>IF($F9="","",$F9-$C9-$M9-$N9)</f>
        <v/>
      </c>
      <c r="H9" s="18">
        <f>IF($G9="","",$G9/$C9)</f>
        <v/>
      </c>
      <c r="I9" s="19" t="n">
        <v>12</v>
      </c>
      <c r="J9" s="15">
        <f>$C9/$I9</f>
        <v/>
      </c>
      <c r="K9" s="15">
        <f>IF($F9="","",$F9/$I9)</f>
        <v/>
      </c>
      <c r="L9" s="15">
        <f>IF($G9="","",$G9/$I9)</f>
        <v/>
      </c>
      <c r="M9" s="16">
        <f>IF($F9="","",$F9*(Paramètres!$B$5+Paramètres!$B$6))</f>
        <v/>
      </c>
      <c r="N9" s="15" t="n">
        <v>0</v>
      </c>
      <c r="O9" s="20" t="n">
        <v>80</v>
      </c>
      <c r="P9" s="20" t="n">
        <v>20.8</v>
      </c>
      <c r="Q9" s="21" t="inlineStr">
        <is>
          <t>ADN Lyon</t>
        </is>
      </c>
      <c r="R9" s="21" t="inlineStr">
        <is>
          <t>28/07/2026</t>
        </is>
      </c>
      <c r="S9" s="21" t="inlineStr">
        <is>
          <t>FB2026-5844</t>
        </is>
      </c>
      <c r="T9" s="21" t="inlineStr">
        <is>
          <t>120</t>
        </is>
      </c>
      <c r="U9" s="13" t="inlineStr">
        <is>
          <t>Vinted + Leboncoin, à l'unité</t>
        </is>
      </c>
      <c r="V9" s="13" t="inlineStr"/>
      <c r="W9" s="13" t="inlineStr">
        <is>
          <t>URGENT — 10 restent, monter à 18 €</t>
        </is>
      </c>
      <c r="X9" s="13" t="inlineStr">
        <is>
          <t>2 vendues à 14 € le 10/08</t>
        </is>
      </c>
      <c r="Y9" s="13" t="n">
        <v>12</v>
      </c>
    </row>
    <row r="10">
      <c r="A10" s="4" t="inlineStr">
        <is>
          <t>ELISABETTA FRANCHI robe asymétrique viscose T.46 IT — neuve</t>
        </is>
      </c>
      <c r="B10" s="5" t="n">
        <v>20.45</v>
      </c>
      <c r="C10" s="6">
        <f>$B10+$Y10*Paramètres!$B$13</f>
        <v/>
      </c>
      <c r="D10" s="7">
        <f>$C10/(1-Paramètres!$B$5-Paramètres!$B$6-Paramètres!$B$7)</f>
        <v/>
      </c>
      <c r="E10" s="6">
        <f>CEILING($D10*Paramètres!$B$24,1)</f>
        <v/>
      </c>
      <c r="F10" s="8" t="n">
        <v>99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>
        <f>IF($F10="","",$F10*Paramètres!$B$7)</f>
        <v/>
      </c>
      <c r="O10" s="11" t="n">
        <v>16</v>
      </c>
      <c r="P10" s="11" t="n">
        <v>4.16</v>
      </c>
      <c r="Q10" s="12" t="inlineStr">
        <is>
          <t>ADN Lyon</t>
        </is>
      </c>
      <c r="R10" s="12" t="inlineStr">
        <is>
          <t>03/08/2026</t>
        </is>
      </c>
      <c r="S10" s="12" t="inlineStr">
        <is>
          <t>FB2026-5996</t>
        </is>
      </c>
      <c r="T10" s="12" t="inlineStr">
        <is>
          <t>32</t>
        </is>
      </c>
      <c r="U10" s="4" t="inlineStr">
        <is>
          <t>Boutique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Combinaison de pluie BMW Overall ProRain unisexe XL — neuve</t>
        </is>
      </c>
      <c r="B11" s="5" t="n">
        <v>68.56999999999999</v>
      </c>
      <c r="C11" s="6">
        <f>$B11+$Y11*Paramètres!$B$13</f>
        <v/>
      </c>
      <c r="D11" s="7">
        <f>$C11/(1-Paramètres!$B$5-Paramètres!$B$6)</f>
        <v/>
      </c>
      <c r="E11" s="6">
        <f>CEILING($D11*Paramètres!$B$24,1)</f>
        <v/>
      </c>
      <c r="F11" s="8" t="n">
        <v>139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 t="n">
        <v>0</v>
      </c>
      <c r="O11" s="11" t="n">
        <v>60</v>
      </c>
      <c r="P11" s="11" t="n">
        <v>8.57</v>
      </c>
      <c r="Q11" s="12" t="inlineStr">
        <is>
          <t>ADN Le Mans</t>
        </is>
      </c>
      <c r="R11" s="12" t="inlineStr">
        <is>
          <t>10/08/2026</t>
        </is>
      </c>
      <c r="S11" s="12" t="inlineStr">
        <is>
          <t>FB2026-46060</t>
        </is>
      </c>
      <c r="T11" s="12" t="inlineStr">
        <is>
          <t>1350</t>
        </is>
      </c>
      <c r="U11" s="4" t="inlineStr">
        <is>
          <t>Leboncoin + Vinted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79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10</v>
      </c>
      <c r="P12" s="11" t="n">
        <v>2.6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191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99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417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Robe SANDRO T.40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89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</row>
    <row r="15">
      <c r="A15" s="4" t="inlineStr">
        <is>
          <t>Lot de 6 vêtements femme MORGAN T.40 et L — neuf</t>
        </is>
      </c>
      <c r="B15" s="5" t="n">
        <v>37.8</v>
      </c>
      <c r="C15" s="6">
        <f>$B15+$Y15*Paramètres!$B$13</f>
        <v/>
      </c>
      <c r="D15" s="7">
        <f>$C15/(1-Paramètres!$B$5-Paramètres!$B$6)</f>
        <v/>
      </c>
      <c r="E15" s="6">
        <f>CEILING($D15*Paramètres!$B$24,1)</f>
        <v/>
      </c>
      <c r="F15" s="8" t="n">
        <v>98</v>
      </c>
      <c r="G15" s="8">
        <f>IF($F15="","",$F15-$C15-$M15-$N15)</f>
        <v/>
      </c>
      <c r="H15" s="9">
        <f>IF($G15="","",$G15/$C15)</f>
        <v/>
      </c>
      <c r="I15" s="10" t="n">
        <v>6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10/08/2026</t>
        </is>
      </c>
      <c r="S15" s="12" t="inlineStr">
        <is>
          <t>FB2026-46056</t>
        </is>
      </c>
      <c r="T15" s="12" t="inlineStr">
        <is>
          <t>279</t>
        </is>
      </c>
      <c r="U15" s="4" t="inlineStr">
        <is>
          <t>Leboncoin + eBay, à l'unité</t>
        </is>
      </c>
      <c r="V15" s="4" t="inlineStr"/>
      <c r="W15" s="4" t="inlineStr">
        <is>
          <t>Normal</t>
        </is>
      </c>
      <c r="X15" s="4" t="inlineStr"/>
      <c r="Y15" s="4" t="n">
        <v>6</v>
      </c>
    </row>
    <row r="16">
      <c r="A16" s="4" t="inlineStr">
        <is>
          <t>ADIDAS x STELLA McCARTNEY ASMC Ultraboost 21 P.36 — modèle d'exposition</t>
        </is>
      </c>
      <c r="B16" s="5" t="n">
        <v>37.8</v>
      </c>
      <c r="C16" s="6">
        <f>$B16+$Y16*Paramètres!$B$13</f>
        <v/>
      </c>
      <c r="D16" s="7">
        <f>$C16/(1-Paramètres!$B$5-Paramètres!$B$6-Paramètres!$B$7)</f>
        <v/>
      </c>
      <c r="E16" s="6">
        <f>CEILING($D16*Paramètres!$B$24,1)</f>
        <v/>
      </c>
      <c r="F16" s="8" t="n">
        <v>79</v>
      </c>
      <c r="G16" s="8">
        <f>IF($F16="","",$F16-$C16-$M16-$N16)</f>
        <v/>
      </c>
      <c r="H16" s="9">
        <f>IF($G16="","",$G16/$C16)</f>
        <v/>
      </c>
      <c r="I16" s="10" t="n">
        <v>1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>
        <f>IF($F16="","",$F16*Paramètres!$B$7)</f>
        <v/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28/07/2026</t>
        </is>
      </c>
      <c r="S16" s="12" t="inlineStr">
        <is>
          <t>FB2026-43716</t>
        </is>
      </c>
      <c r="T16" s="12" t="inlineStr">
        <is>
          <t>434</t>
        </is>
      </c>
      <c r="U16" s="4" t="inlineStr">
        <is>
          <t>Boutique</t>
        </is>
      </c>
      <c r="V16" s="4" t="inlineStr"/>
      <c r="W16" s="4" t="inlineStr">
        <is>
          <t>Normal</t>
        </is>
      </c>
      <c r="X16" s="4" t="inlineStr"/>
      <c r="Y16" s="4" t="n">
        <v>1</v>
      </c>
    </row>
    <row r="17">
      <c r="A17" s="4" t="inlineStr">
        <is>
          <t>Blazer noir KARL LAGERFELD T.36 FR — neuf avec étiquette</t>
        </is>
      </c>
      <c r="B17" s="5" t="n">
        <v>50.4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89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40</v>
      </c>
      <c r="P17" s="11" t="n">
        <v>10.4</v>
      </c>
      <c r="Q17" s="12" t="inlineStr">
        <is>
          <t>ADN Le Mans</t>
        </is>
      </c>
      <c r="R17" s="12" t="inlineStr">
        <is>
          <t>03/08/2026</t>
        </is>
      </c>
      <c r="S17" s="12" t="inlineStr">
        <is>
          <t>FB2026-44194</t>
        </is>
      </c>
      <c r="T17" s="12" t="inlineStr">
        <is>
          <t>229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4" t="inlineStr">
        <is>
          <t>CHIARA FERRAGNI robe bustier courte T.M — neuve</t>
        </is>
      </c>
      <c r="B18" s="5" t="n">
        <v>31.95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69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25</v>
      </c>
      <c r="P18" s="11" t="n">
        <v>6.5</v>
      </c>
      <c r="Q18" s="12" t="inlineStr">
        <is>
          <t>ADN Lyon</t>
        </is>
      </c>
      <c r="R18" s="12" t="inlineStr">
        <is>
          <t>03/08/2026</t>
        </is>
      </c>
      <c r="S18" s="12" t="inlineStr">
        <is>
          <t>FB2026-5996</t>
        </is>
      </c>
      <c r="T18" s="12" t="inlineStr">
        <is>
          <t>123</t>
        </is>
      </c>
      <c r="U18" s="4" t="inlineStr">
        <is>
          <t>Boutique + Leboncoin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Ballerines MASSIMO DUTTI P.41 — traces d'essayage</t>
        </is>
      </c>
      <c r="B19" s="5" t="n">
        <v>25.2</v>
      </c>
      <c r="C19" s="6">
        <f>$B19+$Y19*Paramètres!$B$13</f>
        <v/>
      </c>
      <c r="D19" s="7">
        <f>$C19/(1-Paramètres!$B$5-Paramètres!$B$6)</f>
        <v/>
      </c>
      <c r="E19" s="6">
        <f>CEILING($D19*Paramètres!$B$24,1)</f>
        <v/>
      </c>
      <c r="F19" s="8" t="n">
        <v>59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 t="n">
        <v>0</v>
      </c>
      <c r="O19" s="11" t="n">
        <v>20</v>
      </c>
      <c r="P19" s="11" t="n">
        <v>5.2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439</t>
        </is>
      </c>
      <c r="U19" s="4" t="inlineStr">
        <is>
          <t>Leboncoin + eBay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PIER ANTONIO GASPARI robe droite bleu marine T.42 — neuve</t>
        </is>
      </c>
      <c r="B20" s="5" t="n">
        <v>25.56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20</v>
      </c>
      <c r="P20" s="11" t="n">
        <v>5.2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29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PHILIPP PLEIN SPORT baskets montantes P.40 — neuves</t>
        </is>
      </c>
      <c r="B21" s="5" t="n">
        <v>57.51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89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45</v>
      </c>
      <c r="P21" s="11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1 booster box Pokémon MEGA Nihil Zero (Munikis Zero) M3 — 30 boosters de 5 cartes — 2 lots de 15 à 49 €, blister à photographier avant ouverture</t>
        </is>
      </c>
      <c r="B22" s="5" t="n">
        <v>69.23999999999999</v>
      </c>
      <c r="C22" s="6">
        <f>$B22</f>
        <v/>
      </c>
      <c r="D22" s="7">
        <f>$C22/(1-Paramètres!$B$5-Paramètres!$B$6)</f>
        <v/>
      </c>
      <c r="E22" s="6">
        <f>CEILING($D22*Paramètres!$B$24,1)</f>
        <v/>
      </c>
      <c r="F22" s="8" t="n">
        <v>98</v>
      </c>
      <c r="G22" s="8">
        <f>IF($F22="","",$F22-$C22-$M22-$N22)</f>
        <v/>
      </c>
      <c r="H22" s="9">
        <f>IF($G22="","",$G22/$C22)</f>
        <v/>
      </c>
      <c r="I22" s="10" t="n">
        <v>2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22" t="n"/>
      <c r="P22" s="22" t="n"/>
      <c r="Q22" s="12" t="inlineStr">
        <is>
          <t>Meccha Japan</t>
        </is>
      </c>
      <c r="R22" s="12" t="inlineStr">
        <is>
          <t>03/08/2026</t>
        </is>
      </c>
      <c r="S22" s="12" t="inlineStr">
        <is>
          <t>#FA429713</t>
        </is>
      </c>
      <c r="T22" s="12" t="inlineStr">
        <is>
          <t>4521329432274</t>
        </is>
      </c>
      <c r="U22" s="4" t="inlineStr">
        <is>
          <t>Leboncoin, lots de 15</t>
        </is>
      </c>
      <c r="V22" s="4" t="inlineStr"/>
      <c r="W22" s="4" t="inlineStr">
        <is>
          <t>Normal</t>
        </is>
      </c>
      <c r="X22" s="4" t="inlineStr"/>
      <c r="Y22" s="4" t="n">
        <v>2</v>
      </c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76</v>
      </c>
      <c r="G23" s="8">
        <f>IF($F23="","",$F23-$C23-$M23-$N23)</f>
        <v/>
      </c>
      <c r="H23" s="9">
        <f>IF($G23="","",$G23/$C23)</f>
        <v/>
      </c>
      <c r="I23" s="10" t="n">
        <v>4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30</v>
      </c>
      <c r="P23" s="11" t="n">
        <v>7.8</v>
      </c>
      <c r="Q23" s="12" t="inlineStr">
        <is>
          <t>ADN Le Mans</t>
        </is>
      </c>
      <c r="R23" s="12" t="inlineStr">
        <is>
          <t>28/07/2026</t>
        </is>
      </c>
      <c r="S23" s="12" t="inlineStr">
        <is>
          <t>FB2026-43717</t>
        </is>
      </c>
      <c r="T23" s="12" t="inlineStr">
        <is>
          <t>303</t>
        </is>
      </c>
      <c r="U23" s="4" t="inlineStr">
        <is>
          <t>Leboncoin + Vinted</t>
        </is>
      </c>
      <c r="V23" s="4" t="inlineStr"/>
      <c r="W23" s="4" t="inlineStr">
        <is>
          <t>URGENT — saisonnier</t>
        </is>
      </c>
      <c r="X23" s="4" t="inlineStr"/>
      <c r="Y23" s="4" t="n">
        <v>4</v>
      </c>
    </row>
    <row r="24">
      <c r="A24" s="23" t="inlineStr">
        <is>
          <t>Lot de 4 toupies BEYBLADE HASBRO</t>
        </is>
      </c>
      <c r="B24" s="24" t="n">
        <v>19.17</v>
      </c>
      <c r="C24" s="25">
        <f>$B24+$Y24*Paramètres!$B$13</f>
        <v/>
      </c>
      <c r="D24" s="26">
        <f>$C24/(1-Paramètres!$B$5-Paramètres!$B$6)</f>
        <v/>
      </c>
      <c r="E24" s="25">
        <f>CEILING($D24*Paramètres!$B$24,1)</f>
        <v/>
      </c>
      <c r="F24" s="27" t="n">
        <v>49</v>
      </c>
      <c r="G24" s="27">
        <f>IF($F24="","",$F24-$C24-$M24-$N24)</f>
        <v/>
      </c>
      <c r="H24" s="28">
        <f>IF($G24="","",$G24/$C24)</f>
        <v/>
      </c>
      <c r="I24" s="29" t="n">
        <v>4</v>
      </c>
      <c r="J24" s="25">
        <f>$C24/$I24</f>
        <v/>
      </c>
      <c r="K24" s="25">
        <f>IF($F24="","",$F24/$I24)</f>
        <v/>
      </c>
      <c r="L24" s="25">
        <f>IF($G24="","",$G24/$I24)</f>
        <v/>
      </c>
      <c r="M24" s="26">
        <f>IF($F24="","",$F24*(Paramètres!$B$5+Paramètres!$B$6))</f>
        <v/>
      </c>
      <c r="N24" s="25" t="n">
        <v>0</v>
      </c>
      <c r="O24" s="30" t="n">
        <v>15</v>
      </c>
      <c r="P24" s="30" t="n">
        <v>3.9</v>
      </c>
      <c r="Q24" s="31" t="inlineStr">
        <is>
          <t>ADN Le Mans</t>
        </is>
      </c>
      <c r="R24" s="31" t="inlineStr">
        <is>
          <t>03/08/2026</t>
        </is>
      </c>
      <c r="S24" s="31" t="inlineStr">
        <is>
          <t>FB2026-44192</t>
        </is>
      </c>
      <c r="T24" s="31" t="inlineStr">
        <is>
          <t>159</t>
        </is>
      </c>
      <c r="U24" s="23" t="inlineStr">
        <is>
          <t>Leboncoin + eBay, en lot</t>
        </is>
      </c>
      <c r="V24" s="23" t="inlineStr"/>
      <c r="W24" s="23" t="inlineStr">
        <is>
          <t>Normal</t>
        </is>
      </c>
      <c r="X24" s="23" t="inlineStr"/>
      <c r="Y24" s="23" t="n">
        <v>1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3" t="inlineStr">
        <is>
          <t>SALOMON X Ultra 5 Mid GTX P.44 — neuves</t>
        </is>
      </c>
      <c r="B28" s="14" t="n">
        <v>76.68000000000001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100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60</v>
      </c>
      <c r="P28" s="20" t="n">
        <v>15.6</v>
      </c>
      <c r="Q28" s="21" t="inlineStr">
        <is>
          <t>ADN Le Mans</t>
        </is>
      </c>
      <c r="R28" s="21" t="inlineStr">
        <is>
          <t>03/08/2026</t>
        </is>
      </c>
      <c r="S28" s="21" t="inlineStr">
        <is>
          <t>FB2026-44192</t>
        </is>
      </c>
      <c r="T28" s="21" t="inlineStr">
        <is>
          <t>11</t>
        </is>
      </c>
      <c r="U28" s="13" t="inlineStr">
        <is>
          <t>Vinted, Italie — non encaissé</t>
        </is>
      </c>
      <c r="V28" s="13" t="inlineStr"/>
      <c r="W28" s="13" t="inlineStr">
        <is>
          <t>VENDUE, en attente</t>
        </is>
      </c>
      <c r="X28" s="13" t="inlineStr">
        <is>
          <t>12/08/2026</t>
        </is>
      </c>
      <c r="Y28" s="13" t="n">
        <v>1</v>
      </c>
    </row>
    <row r="29">
      <c r="A29" s="13" t="inlineStr">
        <is>
          <t>T-shirt BALENCIAGA T.2 — neuf</t>
        </is>
      </c>
      <c r="B29" s="14" t="n">
        <v>113.4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135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90</v>
      </c>
      <c r="P29" s="20" t="n">
        <v>23.4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FB2026-44194</t>
        </is>
      </c>
      <c r="T29" s="21" t="inlineStr">
        <is>
          <t>9</t>
        </is>
      </c>
      <c r="U29" s="13" t="inlineStr">
        <is>
          <t>vendu</t>
        </is>
      </c>
      <c r="V29" s="13" t="inlineStr"/>
      <c r="W29" s="13" t="inlineStr">
        <is>
          <t>VENDU</t>
        </is>
      </c>
      <c r="X29" s="13" t="inlineStr">
        <is>
          <t>VENDU</t>
        </is>
      </c>
      <c r="Y29" s="13" t="n">
        <v>1</v>
      </c>
    </row>
    <row r="30">
      <c r="A30" s="13" t="inlineStr">
        <is>
          <t>Sac demi-lune nylon noir KARL LAGERFELD JEANS — neuf avec étiquette</t>
        </is>
      </c>
      <c r="B30" s="14" t="n">
        <v>50.4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70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40</v>
      </c>
      <c r="P30" s="20" t="n">
        <v>10.4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431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</row>
    <row r="31">
      <c r="A31" s="4" t="inlineStr">
        <is>
          <t>EMPORIO ARMANI baskets P.36 — neuves</t>
        </is>
      </c>
      <c r="B31" s="5" t="n">
        <v>51.12</v>
      </c>
      <c r="C31" s="6">
        <f>$B31+$Y31*Paramètres!$B$13</f>
        <v/>
      </c>
      <c r="D31" s="7">
        <f>$C31/(1-Paramètres!$B$5-Paramètres!$B$6)</f>
        <v/>
      </c>
      <c r="E31" s="6">
        <f>CEILING($D31*Paramètres!$B$24,1)</f>
        <v/>
      </c>
      <c r="F31" s="8" t="n">
        <v>69</v>
      </c>
      <c r="G31" s="8">
        <f>IF($F31="","",$F31-$C31-$M31-$N31)</f>
        <v/>
      </c>
      <c r="H31" s="9">
        <f>IF($G31="","",$G31/$C31)</f>
        <v/>
      </c>
      <c r="I31" s="10" t="n">
        <v>1</v>
      </c>
      <c r="J31" s="6">
        <f>$C31/$I31</f>
        <v/>
      </c>
      <c r="K31" s="6">
        <f>IF($F31="","",$F31/$I31)</f>
        <v/>
      </c>
      <c r="L31" s="6">
        <f>IF($G31="","",$G31/$I31)</f>
        <v/>
      </c>
      <c r="M31" s="7">
        <f>IF($F31="","",$F31*(Paramètres!$B$5+Paramètres!$B$6))</f>
        <v/>
      </c>
      <c r="N31" s="6" t="n">
        <v>0</v>
      </c>
      <c r="O31" s="11" t="n">
        <v>40</v>
      </c>
      <c r="P31" s="11" t="n">
        <v>10.4</v>
      </c>
      <c r="Q31" s="12" t="inlineStr">
        <is>
          <t>ADN Lyon</t>
        </is>
      </c>
      <c r="R31" s="12" t="inlineStr">
        <is>
          <t>03/08/2026</t>
        </is>
      </c>
      <c r="S31" s="12" t="inlineStr">
        <is>
          <t>FB2026-6023</t>
        </is>
      </c>
      <c r="T31" s="12" t="inlineStr">
        <is>
          <t>150</t>
        </is>
      </c>
      <c r="U31" s="4" t="inlineStr">
        <is>
          <t>Leboncoin</t>
        </is>
      </c>
      <c r="V31" s="4" t="inlineStr"/>
      <c r="W31" s="4" t="inlineStr">
        <is>
          <t>Liquider</t>
        </is>
      </c>
      <c r="X31" s="4" t="inlineStr"/>
      <c r="Y31" s="4" t="n">
        <v>1</v>
      </c>
    </row>
    <row r="32">
      <c r="A32" s="4" t="inlineStr">
        <is>
          <t>NEW BALANCE sneakers P.38 — neuves</t>
        </is>
      </c>
      <c r="B32" s="5" t="n">
        <v>38.34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54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30</v>
      </c>
      <c r="P32" s="11" t="n">
        <v>7.8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114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3" t="inlineStr">
        <is>
          <t>Veste en jean ARMANI EXCHANGE T.S — neuve</t>
        </is>
      </c>
      <c r="B33" s="14" t="n">
        <v>25.2</v>
      </c>
      <c r="C33" s="15">
        <f>$B33+$Y33*Paramètres!$B$13</f>
        <v/>
      </c>
      <c r="D33" s="16">
        <f>$C33/(1-Paramètres!$B$5-Paramètres!$B$6)</f>
        <v/>
      </c>
      <c r="E33" s="15">
        <f>CEILING($D33*Paramètres!$B$24,1)</f>
        <v/>
      </c>
      <c r="F33" s="17" t="n">
        <v>40</v>
      </c>
      <c r="G33" s="17">
        <f>IF($F33="","",$F33-$C33-$M33-$N33)</f>
        <v/>
      </c>
      <c r="H33" s="18">
        <f>IF($G33="","",$G33/$C33)</f>
        <v/>
      </c>
      <c r="I33" s="19" t="n">
        <v>1</v>
      </c>
      <c r="J33" s="15">
        <f>$C33/$I33</f>
        <v/>
      </c>
      <c r="K33" s="15">
        <f>IF($F33="","",$F33/$I33)</f>
        <v/>
      </c>
      <c r="L33" s="15">
        <f>IF($G33="","",$G33/$I33)</f>
        <v/>
      </c>
      <c r="M33" s="16">
        <f>IF($F33="","",$F33*(Paramètres!$B$5+Paramètres!$B$6))</f>
        <v/>
      </c>
      <c r="N33" s="15" t="n">
        <v>0</v>
      </c>
      <c r="O33" s="20" t="n">
        <v>20</v>
      </c>
      <c r="P33" s="20" t="n">
        <v>5.2</v>
      </c>
      <c r="Q33" s="21" t="inlineStr">
        <is>
          <t>ADN Le Mans</t>
        </is>
      </c>
      <c r="R33" s="21" t="inlineStr">
        <is>
          <t>28/07/2026</t>
        </is>
      </c>
      <c r="S33" s="21" t="inlineStr">
        <is>
          <t>FB2026-43717</t>
        </is>
      </c>
      <c r="T33" s="21" t="inlineStr">
        <is>
          <t>168</t>
        </is>
      </c>
      <c r="U33" s="13" t="inlineStr">
        <is>
          <t>vendu</t>
        </is>
      </c>
      <c r="V33" s="13" t="inlineStr"/>
      <c r="W33" s="13" t="inlineStr">
        <is>
          <t>VENDU</t>
        </is>
      </c>
      <c r="X33" s="13" t="inlineStr">
        <is>
          <t>VENDU</t>
        </is>
      </c>
      <c r="Y33" s="13" t="n">
        <v>1</v>
      </c>
    </row>
    <row r="34">
      <c r="A34" s="4" t="inlineStr">
        <is>
          <t>NEW BALANCE baskets montantes P.44 — neuves</t>
        </is>
      </c>
      <c r="B34" s="5" t="n">
        <v>51.12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65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40</v>
      </c>
      <c r="P34" s="11" t="n">
        <v>10.4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156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</row>
    <row r="35">
      <c r="A35" s="4" t="inlineStr">
        <is>
          <t>TOMMY JEANS baskets basses P.40 — neuves</t>
        </is>
      </c>
      <c r="B35" s="5" t="n">
        <v>52.4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65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41</v>
      </c>
      <c r="P35" s="11" t="n">
        <v>10.66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158</t>
        </is>
      </c>
      <c r="U35" s="4" t="inlineStr">
        <is>
          <t>Leboncoin + eBay</t>
        </is>
      </c>
      <c r="V35" s="4" t="inlineStr"/>
      <c r="W35" s="4" t="inlineStr">
        <is>
          <t>Liquider</t>
        </is>
      </c>
      <c r="X35" s="4" t="inlineStr"/>
      <c r="Y35" s="4" t="n">
        <v>1</v>
      </c>
    </row>
    <row r="36">
      <c r="A36" s="13" t="inlineStr">
        <is>
          <t>LACOSTE sneakers P.42 — neuves</t>
        </is>
      </c>
      <c r="B36" s="14" t="n">
        <v>57.51</v>
      </c>
      <c r="C36" s="15">
        <f>$B36+$Y36*Paramètres!$B$13</f>
        <v/>
      </c>
      <c r="D36" s="16">
        <f>$C36/(1-Paramètres!$B$5-Paramètres!$B$6)</f>
        <v/>
      </c>
      <c r="E36" s="15">
        <f>CEILING($D36*Paramètres!$B$24,1)</f>
        <v/>
      </c>
      <c r="F36" s="17" t="n">
        <v>70</v>
      </c>
      <c r="G36" s="17">
        <f>IF($F36="","",$F36-$C36-$M36-$N36)</f>
        <v/>
      </c>
      <c r="H36" s="18">
        <f>IF($G36="","",$G36/$C36)</f>
        <v/>
      </c>
      <c r="I36" s="19" t="n">
        <v>1</v>
      </c>
      <c r="J36" s="15">
        <f>$C36/$I36</f>
        <v/>
      </c>
      <c r="K36" s="15">
        <f>IF($F36="","",$F36/$I36)</f>
        <v/>
      </c>
      <c r="L36" s="15">
        <f>IF($G36="","",$G36/$I36)</f>
        <v/>
      </c>
      <c r="M36" s="16">
        <f>IF($F36="","",$F36*(Paramètres!$B$5+Paramètres!$B$6))</f>
        <v/>
      </c>
      <c r="N36" s="15" t="n">
        <v>0</v>
      </c>
      <c r="O36" s="20" t="n">
        <v>45</v>
      </c>
      <c r="P36" s="20" t="n">
        <v>11.7</v>
      </c>
      <c r="Q36" s="21" t="inlineStr">
        <is>
          <t>ADN Lyon</t>
        </is>
      </c>
      <c r="R36" s="21" t="inlineStr">
        <is>
          <t>03/08/2026</t>
        </is>
      </c>
      <c r="S36" s="21" t="inlineStr">
        <is>
          <t>FB2026-6023</t>
        </is>
      </c>
      <c r="T36" s="21" t="inlineStr">
        <is>
          <t>141</t>
        </is>
      </c>
      <c r="U36" s="13" t="inlineStr">
        <is>
          <t>vendu</t>
        </is>
      </c>
      <c r="V36" s="13" t="inlineStr"/>
      <c r="W36" s="13" t="inlineStr">
        <is>
          <t>VENDU</t>
        </is>
      </c>
      <c r="X36" s="13" t="inlineStr">
        <is>
          <t>VENDU</t>
        </is>
      </c>
      <c r="Y36" s="13" t="n">
        <v>1</v>
      </c>
    </row>
    <row r="37">
      <c r="A37" s="4" t="inlineStr">
        <is>
          <t>Pompe immergée ROBBY VP550W noir et bleu — produit d'occasion</t>
        </is>
      </c>
      <c r="B37" s="5" t="n">
        <v>35.9</v>
      </c>
      <c r="C37" s="6">
        <f>$B37</f>
        <v/>
      </c>
      <c r="D37" s="7">
        <f>$C37/(1-Paramètres!$B$5-Paramètres!$B$6)</f>
        <v/>
      </c>
      <c r="E37" s="6">
        <f>CEILING($D37*Paramètres!$B$24,1)</f>
        <v/>
      </c>
      <c r="F37" s="8" t="n">
        <v>45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22" t="n"/>
      <c r="P37" s="22" t="n"/>
      <c r="Q37" s="12" t="inlineStr">
        <is>
          <t>ERA Enchères Rhône-Alpes</t>
        </is>
      </c>
      <c r="R37" s="12" t="inlineStr">
        <is>
          <t>26/07/2026</t>
        </is>
      </c>
      <c r="S37" s="12" t="inlineStr">
        <is>
          <t>507148</t>
        </is>
      </c>
      <c r="T37" s="12" t="inlineStr">
        <is>
          <t>84</t>
        </is>
      </c>
      <c r="U37" s="4" t="inlineStr">
        <is>
          <t>Leboncoin, main propre</t>
        </is>
      </c>
      <c r="V37" s="4" t="inlineStr"/>
      <c r="W37" s="4" t="inlineStr">
        <is>
          <t>Normal</t>
        </is>
      </c>
      <c r="X37" s="4" t="inlineStr"/>
      <c r="Y37" s="4" t="n">
        <v>1</v>
      </c>
    </row>
    <row r="38">
      <c r="A38" s="23" t="inlineStr">
        <is>
          <t>Lot de 4 toupies BEYBLADE HASBRO</t>
        </is>
      </c>
      <c r="B38" s="24" t="n">
        <v>38.34</v>
      </c>
      <c r="C38" s="25">
        <f>$B38+$Y38*Paramètres!$B$13</f>
        <v/>
      </c>
      <c r="D38" s="26">
        <f>$C38/(1-Paramètres!$B$5-Paramètres!$B$6)</f>
        <v/>
      </c>
      <c r="E38" s="25">
        <f>CEILING($D38*Paramètres!$B$24,1)</f>
        <v/>
      </c>
      <c r="F38" s="27" t="n">
        <v>49</v>
      </c>
      <c r="G38" s="27">
        <f>IF($F38="","",$F38-$C38-$M38-$N38)</f>
        <v/>
      </c>
      <c r="H38" s="28">
        <f>IF($G38="","",$G38/$C38)</f>
        <v/>
      </c>
      <c r="I38" s="29" t="n">
        <v>4</v>
      </c>
      <c r="J38" s="25">
        <f>$C38/$I38</f>
        <v/>
      </c>
      <c r="K38" s="25">
        <f>IF($F38="","",$F38/$I38)</f>
        <v/>
      </c>
      <c r="L38" s="25">
        <f>IF($G38="","",$G38/$I38)</f>
        <v/>
      </c>
      <c r="M38" s="26">
        <f>IF($F38="","",$F38*(Paramètres!$B$5+Paramètres!$B$6))</f>
        <v/>
      </c>
      <c r="N38" s="25" t="n">
        <v>0</v>
      </c>
      <c r="O38" s="30" t="n">
        <v>30</v>
      </c>
      <c r="P38" s="30" t="n">
        <v>7.8</v>
      </c>
      <c r="Q38" s="31" t="inlineStr">
        <is>
          <t>ADN Le Mans</t>
        </is>
      </c>
      <c r="R38" s="31" t="inlineStr">
        <is>
          <t>03/08/2026</t>
        </is>
      </c>
      <c r="S38" s="31" t="inlineStr">
        <is>
          <t>FB2026-44192</t>
        </is>
      </c>
      <c r="T38" s="31" t="inlineStr">
        <is>
          <t>299</t>
        </is>
      </c>
      <c r="U38" s="23" t="inlineStr">
        <is>
          <t>Leboncoin + eBay, en lot</t>
        </is>
      </c>
      <c r="V38" s="23" t="inlineStr"/>
      <c r="W38" s="23" t="inlineStr">
        <is>
          <t>Marge faible</t>
        </is>
      </c>
      <c r="X38" s="23" t="inlineStr"/>
      <c r="Y38" s="23" t="n">
        <v>1</v>
      </c>
    </row>
    <row r="39">
      <c r="A39" s="4" t="inlineStr">
        <is>
          <t>Pompe immergée ROBBY VP550W noir/gris — comme neuf, SOCLE CASSÉ</t>
        </is>
      </c>
      <c r="B39" s="5" t="n">
        <v>28.29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35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22" t="n"/>
      <c r="P39" s="22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122</t>
        </is>
      </c>
      <c r="U39" s="4" t="inlineStr">
        <is>
          <t>Leboncoin, main propre</t>
        </is>
      </c>
      <c r="V39" s="4" t="inlineStr"/>
      <c r="W39" s="4" t="inlineStr">
        <is>
          <t>Marge faible</t>
        </is>
      </c>
      <c r="X39" s="4" t="inlineStr"/>
      <c r="Y39" s="4" t="n">
        <v>1</v>
      </c>
    </row>
    <row r="40">
      <c r="A40" s="4" t="inlineStr">
        <is>
          <t>2 boosters Pokémon MEGA Storm Emeralda M6 — 5 cartes chacun — set sorti le 31/07/2026, publier vite</t>
        </is>
      </c>
      <c r="B40" s="5" t="n">
        <v>12.74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19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22" t="n"/>
      <c r="P40" s="22" t="n"/>
      <c r="Q40" s="12" t="inlineStr">
        <is>
          <t>Meccha Japan</t>
        </is>
      </c>
      <c r="R40" s="12" t="inlineStr">
        <is>
          <t>03/08/2026</t>
        </is>
      </c>
      <c r="S40" s="12" t="inlineStr">
        <is>
          <t>#FA429713</t>
        </is>
      </c>
      <c r="T40" s="12" t="inlineStr">
        <is>
          <t>4521329462226</t>
        </is>
      </c>
      <c r="U40" s="4" t="inlineStr">
        <is>
          <t>Leboncoin, lot de 2</t>
        </is>
      </c>
      <c r="V40" s="4" t="inlineStr"/>
      <c r="W40" s="4" t="inlineStr">
        <is>
          <t>Normal</t>
        </is>
      </c>
      <c r="X40" s="4" t="inlineStr"/>
      <c r="Y40" s="4" t="n">
        <v>1</v>
      </c>
    </row>
    <row r="41">
      <c r="A41" s="4" t="inlineStr">
        <is>
          <t>1 booster Pokémon High Class Pack MEGA Dream ex M2a — 10 cartes dans le booster</t>
        </is>
      </c>
      <c r="B41" s="5" t="n">
        <v>12.95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22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22" t="n"/>
      <c r="P41" s="22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4521329431925</t>
        </is>
      </c>
      <c r="U41" s="4" t="inlineStr">
        <is>
          <t>Prélevé — usage personnel</t>
        </is>
      </c>
      <c r="V41" s="4" t="inlineStr"/>
      <c r="W41" s="4" t="inlineStr">
        <is>
          <t>PRÉLEVÉ</t>
        </is>
      </c>
      <c r="X41" s="4" t="inlineStr"/>
      <c r="Y41" s="4" t="n">
        <v>1</v>
      </c>
    </row>
    <row r="42">
      <c r="A42" s="4" t="inlineStr">
        <is>
          <t>Pompe immergée ROBBY VP550W bleu et noir — occasion, NE MARCHE QU'EN MODE AUTO</t>
        </is>
      </c>
      <c r="B42" s="5" t="n">
        <v>19.41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22" t="n"/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22" t="n"/>
      <c r="P42" s="22" t="n"/>
      <c r="Q42" s="12" t="inlineStr">
        <is>
          <t>ERA Enchères Rhône-Alpes</t>
        </is>
      </c>
      <c r="R42" s="12" t="inlineStr">
        <is>
          <t>26/07/2026</t>
        </is>
      </c>
      <c r="S42" s="12" t="inlineStr">
        <is>
          <t>507148</t>
        </is>
      </c>
      <c r="T42" s="12" t="inlineStr">
        <is>
          <t>131</t>
        </is>
      </c>
      <c r="U42" s="4" t="inlineStr">
        <is>
          <t>Prélevée — usage personnel</t>
        </is>
      </c>
      <c r="V42" s="4" t="inlineStr"/>
      <c r="W42" s="4" t="inlineStr">
        <is>
          <t>PRÉLEVÉE</t>
        </is>
      </c>
      <c r="X42" s="4" t="inlineStr"/>
      <c r="Y42" s="4" t="n">
        <v>1</v>
      </c>
    </row>
    <row r="43">
      <c r="A43" s="13" t="inlineStr">
        <is>
          <t>Baskets NIKE Air Max Moto 2K P.44.5 — neuves</t>
        </is>
      </c>
      <c r="B43" s="14" t="n">
        <v>50.4</v>
      </c>
      <c r="C43" s="15">
        <f>$B43+$Y43*Paramètres!$B$13</f>
        <v/>
      </c>
      <c r="D43" s="16">
        <f>$C43/(1-Paramètres!$B$5-Paramètres!$B$6)</f>
        <v/>
      </c>
      <c r="E43" s="15">
        <f>CEILING($D43*Paramètres!$B$24,1)</f>
        <v/>
      </c>
      <c r="F43" s="32" t="n"/>
      <c r="G43" s="17">
        <f>IF($F43="","",$F43-$C43-$M43-$N43)</f>
        <v/>
      </c>
      <c r="H43" s="18">
        <f>IF($G43="","",$G43/$C43)</f>
        <v/>
      </c>
      <c r="I43" s="19" t="n">
        <v>1</v>
      </c>
      <c r="J43" s="15">
        <f>$C43/$I43</f>
        <v/>
      </c>
      <c r="K43" s="15">
        <f>IF($F43="","",$F43/$I43)</f>
        <v/>
      </c>
      <c r="L43" s="15">
        <f>IF($G43="","",$G43/$I43)</f>
        <v/>
      </c>
      <c r="M43" s="16">
        <f>IF($F43="","",$F43*(Paramètres!$B$5+Paramètres!$B$6))</f>
        <v/>
      </c>
      <c r="N43" s="15" t="n">
        <v>0</v>
      </c>
      <c r="O43" s="20" t="n">
        <v>40</v>
      </c>
      <c r="P43" s="20" t="n">
        <v>10.4</v>
      </c>
      <c r="Q43" s="21" t="inlineStr">
        <is>
          <t>ADN Le Mans</t>
        </is>
      </c>
      <c r="R43" s="21" t="inlineStr">
        <is>
          <t>28/07/2026</t>
        </is>
      </c>
      <c r="S43" s="21" t="inlineStr">
        <is>
          <t>FB2026-43716</t>
        </is>
      </c>
      <c r="T43" s="21" t="inlineStr">
        <is>
          <t>170</t>
        </is>
      </c>
      <c r="U43" s="13" t="inlineStr">
        <is>
          <t>Prélevées — usage personnel</t>
        </is>
      </c>
      <c r="V43" s="13" t="inlineStr"/>
      <c r="W43" s="13" t="inlineStr">
        <is>
          <t>PRÉLEVÉES</t>
        </is>
      </c>
      <c r="X43" s="13" t="inlineStr">
        <is>
          <t>PRÉLEVÉES 09/08</t>
        </is>
      </c>
      <c r="Y43" s="13" t="n">
        <v>1</v>
      </c>
    </row>
    <row r="44">
      <c r="A44" s="13" t="inlineStr">
        <is>
          <t>Baskets HOKA P.37 1/3 — neuves</t>
        </is>
      </c>
      <c r="B44" s="14" t="n">
        <v>63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50</v>
      </c>
      <c r="P44" s="20" t="n">
        <v>13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103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</row>
    <row r="45">
      <c r="A45" s="4" t="inlineStr">
        <is>
          <t>ADIDAS Yeezy 700 V3 Mono Safflower T.38 — occasion</t>
        </is>
      </c>
      <c r="B45" s="5" t="n">
        <v>63</v>
      </c>
      <c r="C45" s="6">
        <f>$B45+$Y45*Paramètres!$B$13</f>
        <v/>
      </c>
      <c r="D45" s="7">
        <f>$C45/(1-Paramètres!$B$5-Paramètres!$B$6)</f>
        <v/>
      </c>
      <c r="E45" s="6">
        <f>CEILING($D45*Paramètres!$B$24,1)</f>
        <v/>
      </c>
      <c r="F45" s="22" t="n"/>
      <c r="G45" s="8">
        <f>IF($F45="","",$F45-$C45-$M45-$N45)</f>
        <v/>
      </c>
      <c r="H45" s="9">
        <f>IF($G45="","",$G45/$C45)</f>
        <v/>
      </c>
      <c r="I45" s="10" t="n">
        <v>1</v>
      </c>
      <c r="J45" s="6">
        <f>$C45/$I45</f>
        <v/>
      </c>
      <c r="K45" s="6">
        <f>IF($F45="","",$F45/$I45)</f>
        <v/>
      </c>
      <c r="L45" s="6">
        <f>IF($G45="","",$G45/$I45)</f>
        <v/>
      </c>
      <c r="M45" s="7">
        <f>IF($F45="","",$F45*(Paramètres!$B$5+Paramètres!$B$6))</f>
        <v/>
      </c>
      <c r="N45" s="6" t="n">
        <v>0</v>
      </c>
      <c r="O45" s="11" t="n">
        <v>50</v>
      </c>
      <c r="P45" s="11" t="n">
        <v>13</v>
      </c>
      <c r="Q45" s="12" t="inlineStr">
        <is>
          <t>ADN Le Mans</t>
        </is>
      </c>
      <c r="R45" s="12" t="inlineStr">
        <is>
          <t>10/08/2026</t>
        </is>
      </c>
      <c r="S45" s="12" t="inlineStr">
        <is>
          <t>FB2026-46056</t>
        </is>
      </c>
      <c r="T45" s="12" t="inlineStr">
        <is>
          <t>8</t>
        </is>
      </c>
      <c r="U45" s="4" t="inlineStr">
        <is>
          <t>Vinted, authentification</t>
        </is>
      </c>
      <c r="V45" s="4" t="inlineStr"/>
      <c r="W45" s="4" t="inlineStr">
        <is>
          <t>PRIX À ÉTABLIR</t>
        </is>
      </c>
      <c r="X45" s="4" t="inlineStr"/>
      <c r="Y45" s="4" t="n">
        <v>1</v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</row>
  </sheetData>
  <autoFilter ref="A5:Y45"/>
  <conditionalFormatting sqref="G6:G45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1 lot sans prix : Yeezy 700 V3, en attente d'authentification.</t>
        </is>
      </c>
    </row>
    <row r="36">
      <c r="A36" s="45" t="inlineStr">
        <is>
          <t>CA encaissé : 343 €,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1" t="inlineStr">
        <is>
          <t>Facture</t>
        </is>
      </c>
      <c r="B42" s="51" t="inlineStr">
        <is>
          <t>Date</t>
        </is>
      </c>
      <c r="C42" s="51" t="inlineStr">
        <is>
          <t>Maison</t>
        </is>
      </c>
      <c r="D42" s="51" t="inlineStr">
        <is>
          <t>Commande</t>
        </is>
      </c>
      <c r="E42" s="51" t="inlineStr">
        <is>
          <t>Désignation</t>
        </is>
      </c>
      <c r="F42" s="51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2026-08-14T05:11:04Z</dcterms:created>
  <dcterms:modified xsi:type="dcterms:W3CDTF">2026-08-14T05:11:04Z</dcterms:modified>
</cp:coreProperties>
</file>