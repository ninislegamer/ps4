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13" t="inlineStr">
        <is>
          <t>1 booster box Pokémon MEGA Nihil Zero (Munikis Zero) M3 — 30 boosters de 5 cartes — 2 lots de 15 à 49 €, blister à photographier avant ouverture</t>
        </is>
      </c>
      <c r="B27" s="59" t="n">
        <v>0</v>
      </c>
      <c r="C27" s="60">
        <f>$B27</f>
        <v/>
      </c>
      <c r="D27" s="61">
        <f>$C27/(1-Paramètres!$B$5-Paramètres!$B$6)</f>
        <v/>
      </c>
      <c r="E27" s="60">
        <f>CEILING($D27*Paramètres!$B$24,1)</f>
        <v/>
      </c>
      <c r="F27" s="32" t="n"/>
      <c r="G27" s="62">
        <f>IF($F27="","",$F27-$C27-$M27-$N27)</f>
        <v/>
      </c>
      <c r="H27" s="18">
        <f>IF($G27="","",$G27/$C27)</f>
        <v/>
      </c>
      <c r="I27" s="19" t="n">
        <v>2</v>
      </c>
      <c r="J27" s="60">
        <f>$C27/$I27</f>
        <v/>
      </c>
      <c r="K27" s="60">
        <f>IF($F27="","",$F27/$I27)</f>
        <v/>
      </c>
      <c r="L27" s="60">
        <f>IF($G27="","",$G27/$I27)</f>
        <v/>
      </c>
      <c r="M27" s="61">
        <f>IF($F27="","",$F27*(Paramètres!$B$5+Paramètres!$B$6))</f>
        <v/>
      </c>
      <c r="N27" s="60" t="n">
        <v>0</v>
      </c>
      <c r="O27" s="63" t="n"/>
      <c r="P27" s="63" t="n"/>
      <c r="Q27" s="21" t="inlineStr">
        <is>
          <t>Meccha Japan</t>
        </is>
      </c>
      <c r="R27" s="21" t="inlineStr">
        <is>
          <t>03/08/2026</t>
        </is>
      </c>
      <c r="S27" s="21" t="inlineStr">
        <is>
          <t>#FA429713</t>
        </is>
      </c>
      <c r="T27" s="21" t="inlineStr">
        <is>
          <t>4521329432274</t>
        </is>
      </c>
      <c r="U27" s="13" t="inlineStr">
        <is>
          <t>Retiré — achat personnel (Pokémon), jamais dans l'activité</t>
        </is>
      </c>
      <c r="V27" s="13" t="inlineStr"/>
      <c r="W27" s="13" t="inlineStr">
        <is>
          <t>RETIRÉ — PERSONNEL</t>
        </is>
      </c>
      <c r="X27" s="13" t="inlineStr">
        <is>
          <t>Retiré 17/08</t>
        </is>
      </c>
      <c r="Y27" s="13" t="n">
        <v>2</v>
      </c>
      <c r="Z27" s="62">
        <f>IF($G27="","",$G27/$Y27)</f>
        <v/>
      </c>
      <c r="AA27" s="13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encaissée 23/08</t>
        </is>
      </c>
      <c r="V31" s="13" t="inlineStr"/>
      <c r="W31" s="13" t="inlineStr">
        <is>
          <t>VENDUE</t>
        </is>
      </c>
      <c r="X31" s="13" t="inlineStr">
        <is>
          <t>VENDUE 12/08, encaissée 23/08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13" t="inlineStr">
        <is>
          <t>2 boosters Pokémon MEGA Storm Emeralda M6 — 5 cartes chacun — set sorti le 31/07/2026, publier vite</t>
        </is>
      </c>
      <c r="B41" s="59" t="n">
        <v>0</v>
      </c>
      <c r="C41" s="60">
        <f>$B41</f>
        <v/>
      </c>
      <c r="D41" s="61">
        <f>$C41/(1-Paramètres!$B$5-Paramètres!$B$6)</f>
        <v/>
      </c>
      <c r="E41" s="60">
        <f>CEILING($D41*Paramètres!$B$24,1)</f>
        <v/>
      </c>
      <c r="F41" s="32" t="n"/>
      <c r="G41" s="62">
        <f>IF($F41="","",$F41-$C41-$M41-$N41)</f>
        <v/>
      </c>
      <c r="H41" s="18">
        <f>IF($G41="","",$G41/$C41)</f>
        <v/>
      </c>
      <c r="I41" s="19" t="n">
        <v>1</v>
      </c>
      <c r="J41" s="60">
        <f>$C41/$I41</f>
        <v/>
      </c>
      <c r="K41" s="60">
        <f>IF($F41="","",$F41/$I41)</f>
        <v/>
      </c>
      <c r="L41" s="60">
        <f>IF($G41="","",$G41/$I41)</f>
        <v/>
      </c>
      <c r="M41" s="61">
        <f>IF($F41="","",$F41*(Paramètres!$B$5+Paramètres!$B$6))</f>
        <v/>
      </c>
      <c r="N41" s="60" t="n">
        <v>0</v>
      </c>
      <c r="O41" s="63" t="n"/>
      <c r="P41" s="63" t="n"/>
      <c r="Q41" s="21" t="inlineStr">
        <is>
          <t>Meccha Japan</t>
        </is>
      </c>
      <c r="R41" s="21" t="inlineStr">
        <is>
          <t>03/08/2026</t>
        </is>
      </c>
      <c r="S41" s="21" t="inlineStr">
        <is>
          <t>#FA429713</t>
        </is>
      </c>
      <c r="T41" s="21" t="inlineStr">
        <is>
          <t>4521329462226</t>
        </is>
      </c>
      <c r="U41" s="13" t="inlineStr">
        <is>
          <t>Retiré — achat personnel (Pokémon), jamais dans l'activité</t>
        </is>
      </c>
      <c r="V41" s="13" t="inlineStr"/>
      <c r="W41" s="13" t="inlineStr">
        <is>
          <t>RETIRÉ — PERSONNEL</t>
        </is>
      </c>
      <c r="X41" s="13" t="inlineStr">
        <is>
          <t>Retiré 17/08</t>
        </is>
      </c>
      <c r="Y41" s="13" t="n">
        <v>1</v>
      </c>
      <c r="Z41" s="62">
        <f>IF($G41="","",$G41/$Y41)</f>
        <v/>
      </c>
      <c r="AA41" s="13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0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63" t="n"/>
      <c r="P42" s="63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Retiré — achat personnel (Pokémon), jamais dans l'activité</t>
        </is>
      </c>
      <c r="V42" s="13" t="inlineStr"/>
      <c r="W42" s="13" t="inlineStr">
        <is>
          <t>RETIRÉ — PERSONNEL</t>
        </is>
      </c>
      <c r="X42" s="13" t="inlineStr">
        <is>
          <t>Retiré 17/08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22" t="inlineStr">
        <is>
          <t>Unité centrale gaming Acer Predator G3-605 — i7-4790, 16 Go RAM DDR3, GTX 980, 1 To HDD, Windows 10, état correct</t>
        </is>
      </c>
      <c r="B46" s="54" t="n">
        <v>88.2</v>
      </c>
      <c r="C46" s="55">
        <f>$B46</f>
        <v/>
      </c>
      <c r="D46" s="56">
        <f>$C46/(1-Paramètres!$B$5-Paramètres!$B$6)</f>
        <v/>
      </c>
      <c r="E46" s="55">
        <f>CEILING($D46*Paramètres!$B$24,1)</f>
        <v/>
      </c>
      <c r="F46" s="57" t="n"/>
      <c r="G46" s="57">
        <f>IF($F46="","",$F46-$C46-$M46-$N46)</f>
        <v/>
      </c>
      <c r="H46" s="9">
        <f>IF($G46="","",$G46/$C46)</f>
        <v/>
      </c>
      <c r="I46" s="10" t="n">
        <v>1</v>
      </c>
      <c r="J46" s="55">
        <f>$C46/$I46</f>
        <v/>
      </c>
      <c r="K46" s="55">
        <f>IF($F46="","",$F46/$I46)</f>
        <v/>
      </c>
      <c r="L46" s="55">
        <f>IF($G46="","",$G46/$I46)</f>
        <v/>
      </c>
      <c r="M46" s="56">
        <f>IF($F46="","",$F46*(Paramètres!$B$5+Paramètres!$B$6))</f>
        <v/>
      </c>
      <c r="N46" s="55" t="n">
        <v>0</v>
      </c>
      <c r="O46" s="58" t="n">
        <v>70</v>
      </c>
      <c r="P46" s="58" t="n">
        <v>18.2</v>
      </c>
      <c r="Q46" s="12" t="inlineStr">
        <is>
          <t>ADN Le Mans</t>
        </is>
      </c>
      <c r="R46" s="12" t="inlineStr">
        <is>
          <t>23/08/2026</t>
        </is>
      </c>
      <c r="S46" s="12" t="inlineStr">
        <is>
          <t>FB2026-49549</t>
        </is>
      </c>
      <c r="T46" s="12" t="inlineStr">
        <is>
          <t>18</t>
        </is>
      </c>
      <c r="U46" s="4" t="inlineStr">
        <is>
          <t>Leboncoin informatique / eBay — pas la boutique</t>
        </is>
      </c>
      <c r="V46" s="4" t="n"/>
      <c r="W46" s="4" t="inlineStr">
        <is>
          <t>À TARIFER — livraison pas encore facturée</t>
        </is>
      </c>
      <c r="X46" s="4" t="n"/>
      <c r="Y46" s="4" t="n">
        <v>1</v>
      </c>
      <c r="Z46" s="57">
        <f>IF($G46="","",$G46/$Y46)</f>
        <v/>
      </c>
      <c r="AA46" s="4">
        <f>IF($Z46="","",IF($Z46&gt;=25,"atteint",TEXT(25-$Z46,"0.00")&amp;" € manquants"))</f>
        <v/>
      </c>
    </row>
    <row r="47">
      <c r="A47" s="13" t="inlineStr">
        <is>
          <t>Vidéoprojecteur PHILIPS NeoPix 110 noir — très bon état, testé, complet avec boîte</t>
        </is>
      </c>
      <c r="B47" s="59" t="n">
        <v>50.4</v>
      </c>
      <c r="C47" s="60">
        <f>$B47</f>
        <v/>
      </c>
      <c r="D47" s="61">
        <f>$C47/(1-Paramètres!$B$5-Paramètres!$B$6)</f>
        <v/>
      </c>
      <c r="E47" s="60">
        <f>CEILING($D47*Paramètres!$B$24,1)</f>
        <v/>
      </c>
      <c r="F47" s="32" t="n"/>
      <c r="G47" s="62">
        <f>IF($F47="","",$F47-$C47-$M47-$N47)</f>
        <v/>
      </c>
      <c r="H47" s="18">
        <f>IF($G47="","",$G47/$C47)</f>
        <v/>
      </c>
      <c r="I47" s="19" t="n">
        <v>1</v>
      </c>
      <c r="J47" s="60">
        <f>$C47/$I47</f>
        <v/>
      </c>
      <c r="K47" s="60">
        <f>IF($F47="","",$F47/$I47)</f>
        <v/>
      </c>
      <c r="L47" s="60">
        <f>IF($G47="","",$G47/$I47)</f>
        <v/>
      </c>
      <c r="M47" s="61">
        <f>IF($F47="","",$F47*(Paramètres!$B$5+Paramètres!$B$6))</f>
        <v/>
      </c>
      <c r="N47" s="60" t="n">
        <v>0</v>
      </c>
      <c r="O47" s="63" t="n">
        <v>40</v>
      </c>
      <c r="P47" s="63" t="n">
        <v>10.4</v>
      </c>
      <c r="Q47" s="21" t="inlineStr">
        <is>
          <t>ADN Le Mans</t>
        </is>
      </c>
      <c r="R47" s="21" t="inlineStr">
        <is>
          <t>23/08/2026</t>
        </is>
      </c>
      <c r="S47" s="21" t="inlineStr">
        <is>
          <t>FB2026-49549</t>
        </is>
      </c>
      <c r="T47" s="21" t="inlineStr">
        <is>
          <t>298</t>
        </is>
      </c>
      <c r="U47" s="13" t="inlineStr">
        <is>
          <t>Prélevé — usage personnel</t>
        </is>
      </c>
      <c r="V47" s="13" t="n"/>
      <c r="W47" s="13" t="inlineStr">
        <is>
          <t>PRÉLEVÉ</t>
        </is>
      </c>
      <c r="X47" s="13" t="inlineStr">
        <is>
          <t>PRÉLEVÉ 23/08</t>
        </is>
      </c>
      <c r="Y47" s="13" t="n">
        <v>1</v>
      </c>
      <c r="Z47" s="62">
        <f>IF($G47="","",$G47/$Y47)</f>
        <v/>
      </c>
      <c r="AA47" s="13">
        <f>IF($Z47="","",IF($Z47&gt;=25,"atteint",TEXT(25-$Z47,"0.00")&amp;" € manquants"))</f>
        <v/>
      </c>
    </row>
    <row r="48">
      <c r="A48" s="33" t="inlineStr">
        <is>
          <t>TOTAL — 42 lots</t>
        </is>
      </c>
      <c r="B48" s="69">
        <f>SUM(B6:B47)</f>
        <v/>
      </c>
      <c r="C48" s="69">
        <f>SUM(C6:C47)</f>
        <v/>
      </c>
      <c r="D48" s="35" t="n"/>
      <c r="E48" s="35" t="n"/>
      <c r="F48" s="69">
        <f>SUM(F6:F47)</f>
        <v/>
      </c>
      <c r="G48" s="69">
        <f>SUM(G6:G47)</f>
        <v/>
      </c>
      <c r="H48" s="36">
        <f>G48/C48</f>
        <v/>
      </c>
      <c r="I48" s="70">
        <f>SUM(I6:I47)</f>
        <v/>
      </c>
      <c r="J48" s="35" t="n"/>
      <c r="K48" s="35" t="n"/>
      <c r="L48" s="35" t="n"/>
      <c r="M48" s="69">
        <f>SUM(M6:M47)</f>
        <v/>
      </c>
      <c r="N48" s="69">
        <f>SUM(N6:N47)</f>
        <v/>
      </c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69">
        <f>G48/SUM(Y6:Y47)</f>
        <v/>
      </c>
      <c r="AA48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1775.95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(pompes)</t>
        </is>
      </c>
      <c r="B6" s="55" t="n">
        <v>83.59999999999999</v>
      </c>
    </row>
    <row r="7">
      <c r="A7" s="40" t="inlineStr">
        <is>
          <t>TOTAL ENGAGÉ</t>
        </is>
      </c>
      <c r="B7" s="69">
        <f>'Stock complet'!C48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complet'!F48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complet'!M48</f>
        <v/>
      </c>
    </row>
    <row r="12">
      <c r="A12" s="39" t="inlineStr">
        <is>
          <t>− Commission carte</t>
        </is>
      </c>
      <c r="B12" s="55">
        <f>-'Stock complet'!N48</f>
        <v/>
      </c>
    </row>
    <row r="13">
      <c r="A13" s="40">
        <f> Marge brute</f>
        <v/>
      </c>
      <c r="B13" s="69">
        <f>'Stock complet'!G48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complet'!I48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Charges fixes, aujourd'hui</t>
        </is>
      </c>
      <c r="B27" s="55">
        <f>Paramètres!B30</f>
        <v/>
      </c>
      <c r="C27" s="2" t="inlineStr">
        <is>
          <t>1 € + 22 € + médiateur 1,33 €</t>
        </is>
      </c>
    </row>
    <row r="28">
      <c r="A28" s="39" t="inlineStr">
        <is>
          <t>Charges fixes, à partir du 11/11/2026</t>
        </is>
      </c>
      <c r="B28" s="55">
        <f>Paramètres!B31</f>
        <v/>
      </c>
      <c r="C28" s="2" t="inlineStr">
        <is>
          <t>36 € + 22 € + médiateur 1,33 €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473 €, Salomon comprise depuis le 23/08. Les Hoka et les Nike restent des prélèvements, pas des ventes.</t>
        </is>
      </c>
    </row>
    <row r="37">
      <c r="A37" s="39" t="inlineStr">
        <is>
          <t>Frais de livraison de la facture FB2026-49549 encore en attente. 187,95 € de stock prélevé pour usage personnel (Hoka, Nike, pompe Robby, vidéoprojecteur).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  <row r="45">
      <c r="A45" s="45" t="inlineStr">
        <is>
          <t>23/08 : achat FB2026-49549 — unité centrale Acer G3-605 (88,20 €, pas encore tarifée) + vidéoprojecteur Philips NeoPix 110 (50,40 €, prélevé, usage personnel).</t>
        </is>
      </c>
    </row>
    <row r="46">
      <c r="A46" s="45" t="inlineStr">
        <is>
          <t>Frais de livraison de la facture FB2026-49549 pas encore connus — à ajouter dans Factures et Paramètres &gt; Livraison ADN dès réception.</t>
        </is>
      </c>
    </row>
    <row r="47">
      <c r="A47" s="45" t="inlineStr">
        <is>
          <t>Cartes et boosters Pokémon retirés du stock professionnel le 17/08 — achetés à titre personnel dès l'origine, jamais dans l'activité (lignes 27, 41, 42 de Stock complet, coût à 0).</t>
        </is>
      </c>
    </row>
    <row r="48">
      <c r="A48" s="45" t="inlineStr">
        <is>
          <t>Médiateur de la consommation : 48 € pour 3 ans intégrés aux charges fixes (Paramètres &gt; B50). CGV section 9 toujours à compléter tant que l'inscription n'est pas confirmée.</t>
        </is>
      </c>
    </row>
    <row r="49">
      <c r="A49" s="45" t="inlineStr">
        <is>
          <t>Salomon encaissée le 23/08 — 100 €, plus rien en attente sur les ventes déjà faites.</t>
        </is>
      </c>
    </row>
    <row r="50">
      <c r="A50" s="45" t="inlineStr">
        <is>
          <t>Sourcing en pause depuis le 23/08 : engagement total ~2 000 € atteint, plus d'achat avant que le stock déjà là se vende davantage.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B27+B29+B51</f>
        <v/>
      </c>
    </row>
    <row r="31">
      <c r="A31" s="39" t="inlineStr">
        <is>
          <t>Total mensuel à partir du 11/11/2026</t>
        </is>
      </c>
      <c r="B31" s="76">
        <f>B28+B29+B51</f>
        <v/>
      </c>
      <c r="C31" s="2" t="inlineStr">
        <is>
          <t>712 €/an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  <row r="49">
      <c r="A49" s="38" t="inlineStr">
        <is>
          <t>MÉDIATEUR DE LA CONSOMMATION</t>
        </is>
      </c>
    </row>
    <row r="50">
      <c r="A50" s="39" t="inlineStr">
        <is>
          <t>Coût du médiateur, pour 3 ans</t>
        </is>
      </c>
      <c r="B50" s="75" t="n">
        <v>48</v>
      </c>
      <c r="C50" s="2" t="inlineStr">
        <is>
          <t>Payé le 23/08/2026 — CGV section 9 : inscription à confirmer avant d'être opposable</t>
        </is>
      </c>
    </row>
    <row r="51">
      <c r="A51" s="39" t="inlineStr">
        <is>
          <t>Coût médiateur, mensualisé</t>
        </is>
      </c>
      <c r="B51" s="76">
        <f>B50/36</f>
        <v/>
      </c>
      <c r="C51" s="2" t="inlineStr">
        <is>
          <t>moyenne lissée sur 3 ans (36 mois), pour comparer avec les abonnements mensuels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4" t="inlineStr">
        <is>
          <t>FB2026-49549</t>
        </is>
      </c>
      <c r="B39" s="4" t="inlineStr">
        <is>
          <t>23/08/2026</t>
        </is>
      </c>
      <c r="C39" s="4" t="inlineStr">
        <is>
          <t>ADN Le Mans</t>
        </is>
      </c>
      <c r="D39" s="4" t="inlineStr">
        <is>
          <t>ADN-1738-11</t>
        </is>
      </c>
      <c r="E39" s="4" t="inlineStr">
        <is>
          <t>18</t>
        </is>
      </c>
      <c r="F39" s="4" t="inlineStr">
        <is>
          <t>Unité centrale gaming Acer Predator G3-605 — i7-4790, 16 Go RAM, GTX 980, 1 To HDD, Windows 10</t>
        </is>
      </c>
      <c r="G39" s="55" t="n">
        <v>70</v>
      </c>
      <c r="H39" s="55" t="n">
        <v>18.2</v>
      </c>
      <c r="I39" s="55" t="n">
        <v>0</v>
      </c>
      <c r="J39" s="55" t="n">
        <v>88.2</v>
      </c>
    </row>
    <row r="40">
      <c r="A40" s="4" t="inlineStr">
        <is>
          <t>FB2026-49549</t>
        </is>
      </c>
      <c r="B40" s="4" t="inlineStr">
        <is>
          <t>23/08/2026</t>
        </is>
      </c>
      <c r="C40" s="4" t="inlineStr">
        <is>
          <t>ADN Le Mans</t>
        </is>
      </c>
      <c r="D40" s="4" t="inlineStr">
        <is>
          <t>ADN-1738-11</t>
        </is>
      </c>
      <c r="E40" s="4" t="inlineStr">
        <is>
          <t>298</t>
        </is>
      </c>
      <c r="F40" s="4" t="inlineStr">
        <is>
          <t>Vidéoprojecteur PHILIPS NeoPix 110 noir — très bon état, testé, complet avec boîte</t>
        </is>
      </c>
      <c r="G40" s="55" t="n">
        <v>40</v>
      </c>
      <c r="H40" s="55" t="n">
        <v>10.4</v>
      </c>
      <c r="I40" s="55" t="n">
        <v>0</v>
      </c>
      <c r="J40" s="55" t="n">
        <v>50.4</v>
      </c>
    </row>
    <row r="41">
      <c r="A41" s="35" t="n"/>
      <c r="B41" s="35" t="n"/>
      <c r="C41" s="35" t="n"/>
      <c r="D41" s="35" t="n"/>
      <c r="E41" s="35" t="n"/>
      <c r="F41" s="33" t="inlineStr">
        <is>
          <t>TOTAL MARCHANDISE</t>
        </is>
      </c>
      <c r="G41" s="69">
        <f>SUM(G5:G40)</f>
        <v/>
      </c>
      <c r="H41" s="69">
        <f>SUM(H5:H40)</f>
        <v/>
      </c>
      <c r="I41" s="69">
        <f>SUM(I5:I40)</f>
        <v/>
      </c>
      <c r="J41" s="69">
        <f>SUM(J5:J40)</f>
        <v/>
      </c>
    </row>
    <row r="43">
      <c r="A43" s="38" t="inlineStr">
        <is>
          <t>FACTURES DE LIVRAISON</t>
        </is>
      </c>
    </row>
    <row r="44">
      <c r="A44" s="53" t="inlineStr">
        <is>
          <t>Facture</t>
        </is>
      </c>
      <c r="B44" s="53" t="inlineStr">
        <is>
          <t>Date</t>
        </is>
      </c>
      <c r="C44" s="53" t="inlineStr">
        <is>
          <t>Maison</t>
        </is>
      </c>
      <c r="D44" s="53" t="inlineStr">
        <is>
          <t>Commande</t>
        </is>
      </c>
      <c r="E44" s="53" t="inlineStr">
        <is>
          <t>Désignation</t>
        </is>
      </c>
      <c r="F44" s="53" t="inlineStr">
        <is>
          <t>Total TTC</t>
        </is>
      </c>
    </row>
    <row r="45">
      <c r="A45" s="4" t="inlineStr">
        <is>
          <t>FF2026-4060</t>
        </is>
      </c>
      <c r="B45" s="4" t="inlineStr">
        <is>
          <t>28/07/2026</t>
        </is>
      </c>
      <c r="C45" s="4" t="inlineStr">
        <is>
          <t>ADN Lyon</t>
        </is>
      </c>
      <c r="D45" s="4" t="inlineStr">
        <is>
          <t>TLE-C26638</t>
        </is>
      </c>
      <c r="E45" s="4" t="inlineStr">
        <is>
          <t>Colissimo Point Relais — assurance et signature</t>
        </is>
      </c>
      <c r="F45" s="55" t="n">
        <v>19.9</v>
      </c>
    </row>
    <row r="46">
      <c r="A46" s="4" t="inlineStr">
        <is>
          <t>FF2026-4146</t>
        </is>
      </c>
      <c r="B46" s="4" t="inlineStr">
        <is>
          <t>03/08/2026</t>
        </is>
      </c>
      <c r="C46" s="4" t="inlineStr">
        <is>
          <t>ADN Lyon</t>
        </is>
      </c>
      <c r="D46" s="4" t="inlineStr">
        <is>
          <t>TLE-C26827</t>
        </is>
      </c>
      <c r="E46" s="4" t="inlineStr">
        <is>
          <t>Colissimo Point Relais — assurance et signature</t>
        </is>
      </c>
      <c r="F46" s="55" t="n">
        <v>18.22</v>
      </c>
    </row>
    <row r="47">
      <c r="A47" s="4" t="inlineStr">
        <is>
          <t>FF2026-4160</t>
        </is>
      </c>
      <c r="B47" s="4" t="inlineStr">
        <is>
          <t>03/08/2026</t>
        </is>
      </c>
      <c r="C47" s="4" t="inlineStr">
        <is>
          <t>ADN Lyon</t>
        </is>
      </c>
      <c r="D47" s="4" t="inlineStr">
        <is>
          <t>TLE-C26851</t>
        </is>
      </c>
      <c r="E47" s="4" t="inlineStr">
        <is>
          <t>Colissimo Point Relais — assurance et signature</t>
        </is>
      </c>
      <c r="F47" s="55" t="n">
        <v>29.94</v>
      </c>
    </row>
    <row r="48">
      <c r="A48" s="4" t="inlineStr">
        <is>
          <t>FF2026-32305</t>
        </is>
      </c>
      <c r="B48" s="4" t="inlineStr">
        <is>
          <t>10/08/2026</t>
        </is>
      </c>
      <c r="C48" s="4" t="inlineStr">
        <is>
          <t>ADN Le Mans</t>
        </is>
      </c>
      <c r="D48" s="4" t="inlineStr">
        <is>
          <t>ADN-C208494</t>
        </is>
      </c>
      <c r="E48" s="4" t="inlineStr">
        <is>
          <t>Colissimo Point Relais</t>
        </is>
      </c>
      <c r="F48" s="55" t="n">
        <v>15.72</v>
      </c>
    </row>
    <row r="49">
      <c r="A49" s="4" t="inlineStr">
        <is>
          <t>FF2026-4456</t>
        </is>
      </c>
      <c r="B49" s="4" t="inlineStr">
        <is>
          <t>12/08/2026</t>
        </is>
      </c>
      <c r="C49" s="4" t="inlineStr">
        <is>
          <t>ADN Lyon</t>
        </is>
      </c>
      <c r="D49" s="4" t="inlineStr">
        <is>
          <t>TLE-C27429</t>
        </is>
      </c>
      <c r="E49" s="4" t="inlineStr">
        <is>
          <t>Colissimo Point Relais — assurance et signature</t>
        </is>
      </c>
      <c r="F49" s="55" t="n">
        <v>44.02</v>
      </c>
    </row>
    <row r="50">
      <c r="A50" s="35" t="n"/>
      <c r="B50" s="35" t="n"/>
      <c r="C50" s="35" t="n"/>
      <c r="D50" s="35" t="n"/>
      <c r="E50" s="33" t="inlineStr">
        <is>
          <t>TOTAL LIVRAISON</t>
        </is>
      </c>
      <c r="F50" s="69">
        <f>SUM(F45:F49)</f>
        <v/>
      </c>
    </row>
    <row r="52">
      <c r="A52" t="inlineStr">
        <is>
          <t>Frais de livraison de la facture FB2026-49549 (unité centrale + vidéoprojecteur) pas encore reçus — à ajouter ici et dans Paramètres &gt; Livraison ADN dès réception.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2026-08-24T02:29:43Z</dcterms:modified>
</cp:coreProperties>
</file>