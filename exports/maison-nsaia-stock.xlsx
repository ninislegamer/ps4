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x" sheetId="1" state="visible" r:id="rId1"/>
    <sheet name="Stock complet" sheetId="2" state="visible" r:id="rId2"/>
    <sheet name="Synthèse" sheetId="3" state="visible" r:id="rId3"/>
    <sheet name="Paramètres" sheetId="4" state="visible" r:id="rId4"/>
    <sheet name="Légende" sheetId="5" state="visible" r:id="rId5"/>
  </sheets>
  <definedNames>
    <definedName name="_xlnm._FilterDatabase" localSheetId="1" hidden="1">'Stock complet'!$A$4:$V$31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0 &quot;€&quot;"/>
    <numFmt numFmtId="165" formatCode="#,##0 &quot;art.&quot;"/>
    <numFmt numFmtId="166" formatCode="0.0%"/>
    <numFmt numFmtId="167" formatCode="0.000"/>
  </numFmts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9"/>
    </font>
    <font>
      <name val="Arial"/>
      <sz val="10"/>
    </font>
    <font>
      <name val="Arial"/>
      <b val="1"/>
      <sz val="10"/>
    </font>
    <font>
      <name val="Arial"/>
      <color rgb="00C0392B"/>
      <sz val="10"/>
    </font>
    <font>
      <name val="Arial"/>
      <color rgb="000000FF"/>
      <sz val="10"/>
    </font>
    <font>
      <name val="Arial"/>
      <color rgb="00595959"/>
      <sz val="9"/>
    </font>
    <font>
      <name val="Arial"/>
      <b val="1"/>
      <sz val="11"/>
    </font>
  </fonts>
  <fills count="7">
    <fill>
      <patternFill/>
    </fill>
    <fill>
      <patternFill patternType="gray125"/>
    </fill>
    <fill>
      <patternFill patternType="solid">
        <fgColor rgb="001A1A1A"/>
      </patternFill>
    </fill>
    <fill>
      <patternFill patternType="solid">
        <fgColor rgb="00F2F7FB"/>
      </patternFill>
    </fill>
    <fill>
      <patternFill patternType="solid">
        <fgColor rgb="00E3F4E3"/>
      </patternFill>
    </fill>
    <fill>
      <patternFill patternType="solid">
        <fgColor rgb="00EDEDED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164" fontId="4" fillId="3" borderId="1" pivotButton="0" quotePrefix="0" xfId="0"/>
    <xf numFmtId="164" fontId="5" fillId="3" borderId="1" pivotButton="0" quotePrefix="0" xfId="0"/>
    <xf numFmtId="164" fontId="6" fillId="3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5" fillId="0" borderId="1" pivotButton="0" quotePrefix="0" xfId="0"/>
    <xf numFmtId="164" fontId="6" fillId="0" borderId="1" pivotButton="0" quotePrefix="0" xfId="0"/>
    <xf numFmtId="0" fontId="4" fillId="4" borderId="1" pivotButton="0" quotePrefix="0" xfId="0"/>
    <xf numFmtId="164" fontId="4" fillId="4" borderId="1" pivotButton="0" quotePrefix="0" xfId="0"/>
    <xf numFmtId="164" fontId="5" fillId="4" borderId="1" pivotButton="0" quotePrefix="0" xfId="0"/>
    <xf numFmtId="164" fontId="6" fillId="4" borderId="1" pivotButton="0" quotePrefix="0" xfId="0"/>
    <xf numFmtId="0" fontId="5" fillId="5" borderId="1" pivotButton="0" quotePrefix="0" xfId="0"/>
    <xf numFmtId="164" fontId="5" fillId="5" borderId="1" pivotButton="0" quotePrefix="0" xfId="0"/>
    <xf numFmtId="164" fontId="7" fillId="3" borderId="1" pivotButton="0" quotePrefix="0" xfId="0"/>
    <xf numFmtId="9" fontId="4" fillId="3" borderId="1" pivotButton="0" quotePrefix="0" xfId="0"/>
    <xf numFmtId="3" fontId="7" fillId="3" borderId="1" pivotButton="0" quotePrefix="0" xfId="0"/>
    <xf numFmtId="0" fontId="8" fillId="3" borderId="1" pivotButton="0" quotePrefix="0" xfId="0"/>
    <xf numFmtId="0" fontId="0" fillId="3" borderId="1" pivotButton="0" quotePrefix="0" xfId="0"/>
    <xf numFmtId="164" fontId="7" fillId="0" borderId="1" pivotButton="0" quotePrefix="0" xfId="0"/>
    <xf numFmtId="9" fontId="4" fillId="0" borderId="1" pivotButton="0" quotePrefix="0" xfId="0"/>
    <xf numFmtId="3" fontId="7" fillId="0" borderId="1" pivotButton="0" quotePrefix="0" xfId="0"/>
    <xf numFmtId="0" fontId="8" fillId="0" borderId="1" pivotButton="0" quotePrefix="0" xfId="0"/>
    <xf numFmtId="0" fontId="0" fillId="0" borderId="1" pivotButton="0" quotePrefix="0" xfId="0"/>
    <xf numFmtId="164" fontId="7" fillId="4" borderId="1" pivotButton="0" quotePrefix="0" xfId="0"/>
    <xf numFmtId="9" fontId="4" fillId="4" borderId="1" pivotButton="0" quotePrefix="0" xfId="0"/>
    <xf numFmtId="3" fontId="7" fillId="4" borderId="1" pivotButton="0" quotePrefix="0" xfId="0"/>
    <xf numFmtId="0" fontId="8" fillId="4" borderId="1" pivotButton="0" quotePrefix="0" xfId="0"/>
    <xf numFmtId="9" fontId="5" fillId="5" borderId="1" pivotButton="0" quotePrefix="0" xfId="0"/>
    <xf numFmtId="165" fontId="5" fillId="5" borderId="1" pivotButton="0" quotePrefix="0" xfId="0"/>
    <xf numFmtId="0" fontId="0" fillId="5" borderId="1" pivotButton="0" quotePrefix="0" xfId="0"/>
    <xf numFmtId="0" fontId="9" fillId="0" borderId="0" pivotButton="0" quotePrefix="0" xfId="0"/>
    <xf numFmtId="0" fontId="4" fillId="0" borderId="0" pivotButton="0" quotePrefix="0" xfId="0"/>
    <xf numFmtId="3" fontId="4" fillId="0" borderId="1" pivotButton="0" quotePrefix="0" xfId="0"/>
    <xf numFmtId="0" fontId="5" fillId="0" borderId="0" pivotButton="0" quotePrefix="0" xfId="0"/>
    <xf numFmtId="3" fontId="5" fillId="0" borderId="1" pivotButton="0" quotePrefix="0" xfId="0"/>
    <xf numFmtId="164" fontId="5" fillId="6" borderId="1" pivotButton="0" quotePrefix="0" xfId="0"/>
    <xf numFmtId="166" fontId="4" fillId="0" borderId="1" pivotButton="0" quotePrefix="0" xfId="0"/>
    <xf numFmtId="164" fontId="7" fillId="6" borderId="1" pivotButton="0" quotePrefix="0" xfId="0"/>
    <xf numFmtId="164" fontId="4" fillId="0" borderId="0" pivotButton="0" quotePrefix="0" xfId="0"/>
    <xf numFmtId="166" fontId="7" fillId="6" borderId="1" pivotButton="0" quotePrefix="0" xfId="0"/>
    <xf numFmtId="3" fontId="7" fillId="6" borderId="1" pivotButton="0" quotePrefix="0" xfId="0"/>
    <xf numFmtId="167" fontId="4" fillId="0" borderId="0" pivotButton="0" quotePrefix="0" xfId="0"/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00FCE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0" customWidth="1" min="1" max="1"/>
    <col width="12" customWidth="1" min="2" max="2"/>
    <col width="15" customWidth="1" min="3" max="3"/>
    <col width="14" customWidth="1" min="4" max="4"/>
    <col width="12" customWidth="1" min="5" max="5"/>
  </cols>
  <sheetData>
    <row r="1">
      <c r="A1" s="1" t="inlineStr">
        <is>
          <t>Maison Nsaia — coût, prix, marge</t>
        </is>
      </c>
    </row>
    <row r="2">
      <c r="A2" s="2" t="inlineStr">
        <is>
          <t>Vue courte, lisible sur téléphone. Les lignes vertes sont déjà vendues.</t>
        </is>
      </c>
    </row>
    <row r="4" ht="28" customHeight="1">
      <c r="A4" s="3" t="inlineStr">
        <is>
          <t>Pièce</t>
        </is>
      </c>
      <c r="B4" s="3" t="inlineStr">
        <is>
          <t>Coût</t>
        </is>
      </c>
      <c r="C4" s="3" t="inlineStr">
        <is>
          <t>PRIX DE VENTE</t>
        </is>
      </c>
      <c r="D4" s="3" t="inlineStr">
        <is>
          <t>URSSAF 12,4 %</t>
        </is>
      </c>
      <c r="E4" s="3" t="inlineStr">
        <is>
          <t>Marge</t>
        </is>
      </c>
    </row>
    <row r="5">
      <c r="A5" s="4" t="inlineStr">
        <is>
          <t>Adidas Predator Edge.1 TF ×2</t>
        </is>
      </c>
      <c r="B5" s="5">
        <f>'Stock complet'!B5</f>
        <v/>
      </c>
      <c r="C5" s="6">
        <f>'Stock complet'!C5</f>
        <v/>
      </c>
      <c r="D5" s="7">
        <f>'Stock complet'!L5</f>
        <v/>
      </c>
      <c r="E5" s="5">
        <f>'Stock complet'!D5</f>
        <v/>
      </c>
    </row>
    <row r="6">
      <c r="A6" s="4" t="inlineStr">
        <is>
          <t>Lot 20 sandales et tongs (Relife, Tommy, Chattawak, Malabar)</t>
        </is>
      </c>
      <c r="B6" s="5">
        <f>'Stock complet'!B6</f>
        <v/>
      </c>
      <c r="C6" s="6">
        <f>'Stock complet'!C6</f>
        <v/>
      </c>
      <c r="D6" s="7">
        <f>'Stock complet'!L6</f>
        <v/>
      </c>
      <c r="E6" s="5">
        <f>'Stock complet'!D6</f>
        <v/>
      </c>
    </row>
    <row r="7">
      <c r="A7" s="8" t="inlineStr">
        <is>
          <t>Bottes Forma Legacy Waterproof</t>
        </is>
      </c>
      <c r="B7" s="9">
        <f>'Stock complet'!B7</f>
        <v/>
      </c>
      <c r="C7" s="10">
        <f>'Stock complet'!C7</f>
        <v/>
      </c>
      <c r="D7" s="11">
        <f>'Stock complet'!L7</f>
        <v/>
      </c>
      <c r="E7" s="9">
        <f>'Stock complet'!D7</f>
        <v/>
      </c>
    </row>
    <row r="8">
      <c r="A8" s="8" t="inlineStr">
        <is>
          <t>Robe Elisabetta Franchi ivoire, viscose</t>
        </is>
      </c>
      <c r="B8" s="9">
        <f>'Stock complet'!B8</f>
        <v/>
      </c>
      <c r="C8" s="10">
        <f>'Stock complet'!C8</f>
        <v/>
      </c>
      <c r="D8" s="11">
        <f>'Stock complet'!L8</f>
        <v/>
      </c>
      <c r="E8" s="9">
        <f>'Stock complet'!D8</f>
        <v/>
      </c>
    </row>
    <row r="9">
      <c r="A9" s="8" t="inlineStr">
        <is>
          <t>Ballerines Hogan 186 Zeppa Fashion</t>
        </is>
      </c>
      <c r="B9" s="9">
        <f>'Stock complet'!B9</f>
        <v/>
      </c>
      <c r="C9" s="10">
        <f>'Stock complet'!C9</f>
        <v/>
      </c>
      <c r="D9" s="11">
        <f>'Stock complet'!L9</f>
        <v/>
      </c>
      <c r="E9" s="9">
        <f>'Stock complet'!D9</f>
        <v/>
      </c>
    </row>
    <row r="10">
      <c r="A10" s="8" t="inlineStr">
        <is>
          <t>Jupe Sonia Rykiel midi twill cerises</t>
        </is>
      </c>
      <c r="B10" s="9">
        <f>'Stock complet'!B10</f>
        <v/>
      </c>
      <c r="C10" s="10">
        <f>'Stock complet'!C10</f>
        <v/>
      </c>
      <c r="D10" s="11">
        <f>'Stock complet'!L10</f>
        <v/>
      </c>
      <c r="E10" s="9">
        <f>'Stock complet'!D10</f>
        <v/>
      </c>
    </row>
    <row r="11">
      <c r="A11" s="4" t="inlineStr">
        <is>
          <t>Morgan — 6 vêtements femme</t>
        </is>
      </c>
      <c r="B11" s="5">
        <f>'Stock complet'!B11</f>
        <v/>
      </c>
      <c r="C11" s="6">
        <f>'Stock complet'!C11</f>
        <v/>
      </c>
      <c r="D11" s="7">
        <f>'Stock complet'!L11</f>
        <v/>
      </c>
      <c r="E11" s="5">
        <f>'Stock complet'!D11</f>
        <v/>
      </c>
    </row>
    <row r="12">
      <c r="A12" s="8" t="inlineStr">
        <is>
          <t>BMW Overall ProRain unisexe noir</t>
        </is>
      </c>
      <c r="B12" s="9">
        <f>'Stock complet'!B12</f>
        <v/>
      </c>
      <c r="C12" s="10">
        <f>'Stock complet'!C12</f>
        <v/>
      </c>
      <c r="D12" s="11">
        <f>'Stock complet'!L12</f>
        <v/>
      </c>
      <c r="E12" s="9">
        <f>'Stock complet'!D12</f>
        <v/>
      </c>
    </row>
    <row r="13">
      <c r="A13" s="8" t="inlineStr">
        <is>
          <t>Baskets adidas by Stella McCartney UltraBoost 21</t>
        </is>
      </c>
      <c r="B13" s="9">
        <f>'Stock complet'!B13</f>
        <v/>
      </c>
      <c r="C13" s="10">
        <f>'Stock complet'!C13</f>
        <v/>
      </c>
      <c r="D13" s="11">
        <f>'Stock complet'!L13</f>
        <v/>
      </c>
      <c r="E13" s="9">
        <f>'Stock complet'!D13</f>
        <v/>
      </c>
    </row>
    <row r="14">
      <c r="A14" s="8" t="inlineStr">
        <is>
          <t>Blazer Karl Lagerfeld punto noir</t>
        </is>
      </c>
      <c r="B14" s="9">
        <f>'Stock complet'!B14</f>
        <v/>
      </c>
      <c r="C14" s="10">
        <f>'Stock complet'!C14</f>
        <v/>
      </c>
      <c r="D14" s="11">
        <f>'Stock complet'!L14</f>
        <v/>
      </c>
      <c r="E14" s="9">
        <f>'Stock complet'!D14</f>
        <v/>
      </c>
    </row>
    <row r="15">
      <c r="A15" s="12" t="inlineStr">
        <is>
          <t>Salomon X Ultra 5 Mid GTX</t>
        </is>
      </c>
      <c r="B15" s="13">
        <f>'Stock complet'!B15</f>
        <v/>
      </c>
      <c r="C15" s="14">
        <f>'Stock complet'!C15</f>
        <v/>
      </c>
      <c r="D15" s="15">
        <f>'Stock complet'!L15</f>
        <v/>
      </c>
      <c r="E15" s="13">
        <f>'Stock complet'!D15</f>
        <v/>
      </c>
    </row>
    <row r="16">
      <c r="A16" s="4" t="inlineStr">
        <is>
          <t>Mrs.Ertha — gilets de flottaison 3-6 ans</t>
        </is>
      </c>
      <c r="B16" s="5">
        <f>'Stock complet'!B16</f>
        <v/>
      </c>
      <c r="C16" s="6">
        <f>'Stock complet'!C16</f>
        <v/>
      </c>
      <c r="D16" s="7">
        <f>'Stock complet'!L16</f>
        <v/>
      </c>
      <c r="E16" s="5">
        <f>'Stock complet'!D16</f>
        <v/>
      </c>
    </row>
    <row r="17">
      <c r="A17" s="4" t="inlineStr">
        <is>
          <t>Robby VP550W — pompes immergées 550 W ×2</t>
        </is>
      </c>
      <c r="B17" s="5">
        <f>'Stock complet'!B17</f>
        <v/>
      </c>
      <c r="C17" s="6">
        <f>'Stock complet'!C17</f>
        <v/>
      </c>
      <c r="D17" s="7">
        <f>'Stock complet'!L17</f>
        <v/>
      </c>
      <c r="E17" s="5">
        <f>'Stock complet'!D17</f>
        <v/>
      </c>
    </row>
    <row r="18">
      <c r="A18" s="8" t="inlineStr">
        <is>
          <t>Robe Sandro Noaim blanche</t>
        </is>
      </c>
      <c r="B18" s="9">
        <f>'Stock complet'!B18</f>
        <v/>
      </c>
      <c r="C18" s="10">
        <f>'Stock complet'!C18</f>
        <v/>
      </c>
      <c r="D18" s="11">
        <f>'Stock complet'!L18</f>
        <v/>
      </c>
      <c r="E18" s="9">
        <f>'Stock complet'!D18</f>
        <v/>
      </c>
    </row>
    <row r="19">
      <c r="A19" s="8" t="inlineStr">
        <is>
          <t>Ballerines Massimo Dutti cuir rouge</t>
        </is>
      </c>
      <c r="B19" s="9">
        <f>'Stock complet'!B19</f>
        <v/>
      </c>
      <c r="C19" s="10">
        <f>'Stock complet'!C19</f>
        <v/>
      </c>
      <c r="D19" s="11">
        <f>'Stock complet'!L19</f>
        <v/>
      </c>
      <c r="E19" s="9">
        <f>'Stock complet'!D19</f>
        <v/>
      </c>
    </row>
    <row r="20">
      <c r="A20" s="8" t="inlineStr">
        <is>
          <t>Robe bustier Chiara Ferragni noire</t>
        </is>
      </c>
      <c r="B20" s="9">
        <f>'Stock complet'!B20</f>
        <v/>
      </c>
      <c r="C20" s="10">
        <f>'Stock complet'!C20</f>
        <v/>
      </c>
      <c r="D20" s="11">
        <f>'Stock complet'!L20</f>
        <v/>
      </c>
      <c r="E20" s="9">
        <f>'Stock complet'!D20</f>
        <v/>
      </c>
    </row>
    <row r="21">
      <c r="A21" s="8" t="inlineStr">
        <is>
          <t>Robe Pier Antonio Gaspari bleu marine</t>
        </is>
      </c>
      <c r="B21" s="9">
        <f>'Stock complet'!B21</f>
        <v/>
      </c>
      <c r="C21" s="10">
        <f>'Stock complet'!C21</f>
        <v/>
      </c>
      <c r="D21" s="11">
        <f>'Stock complet'!L21</f>
        <v/>
      </c>
      <c r="E21" s="9">
        <f>'Stock complet'!D21</f>
        <v/>
      </c>
    </row>
    <row r="22">
      <c r="A22" s="8" t="inlineStr">
        <is>
          <t>Baskets Geox gris / argent</t>
        </is>
      </c>
      <c r="B22" s="9">
        <f>'Stock complet'!B22</f>
        <v/>
      </c>
      <c r="C22" s="10">
        <f>'Stock complet'!C22</f>
        <v/>
      </c>
      <c r="D22" s="11">
        <f>'Stock complet'!L22</f>
        <v/>
      </c>
      <c r="E22" s="9">
        <f>'Stock complet'!D22</f>
        <v/>
      </c>
    </row>
    <row r="23">
      <c r="A23" s="4" t="inlineStr">
        <is>
          <t>Havaianas Slim fuchsia 35/36 ×10</t>
        </is>
      </c>
      <c r="B23" s="5">
        <f>'Stock complet'!B23</f>
        <v/>
      </c>
      <c r="C23" s="6">
        <f>'Stock complet'!C23</f>
        <v/>
      </c>
      <c r="D23" s="7">
        <f>'Stock complet'!L23</f>
        <v/>
      </c>
      <c r="E23" s="5">
        <f>'Stock complet'!D23</f>
        <v/>
      </c>
    </row>
    <row r="24">
      <c r="A24" s="8" t="inlineStr">
        <is>
          <t>Plein Sport montante blanc / violet</t>
        </is>
      </c>
      <c r="B24" s="9">
        <f>'Stock complet'!B24</f>
        <v/>
      </c>
      <c r="C24" s="10">
        <f>'Stock complet'!C24</f>
        <v/>
      </c>
      <c r="D24" s="11">
        <f>'Stock complet'!L24</f>
        <v/>
      </c>
      <c r="E24" s="9">
        <f>'Stock complet'!D24</f>
        <v/>
      </c>
    </row>
    <row r="25">
      <c r="A25" s="8" t="inlineStr">
        <is>
          <t>Short ba&amp;sh Fegor lightusedblue</t>
        </is>
      </c>
      <c r="B25" s="9">
        <f>'Stock complet'!B25</f>
        <v/>
      </c>
      <c r="C25" s="10">
        <f>'Stock complet'!C25</f>
        <v/>
      </c>
      <c r="D25" s="11">
        <f>'Stock complet'!L25</f>
        <v/>
      </c>
      <c r="E25" s="9">
        <f>'Stock complet'!D25</f>
        <v/>
      </c>
    </row>
    <row r="26">
      <c r="A26" s="8" t="inlineStr">
        <is>
          <t>New Balance GS 1906 Alkaline Green</t>
        </is>
      </c>
      <c r="B26" s="9">
        <f>'Stock complet'!B26</f>
        <v/>
      </c>
      <c r="C26" s="10">
        <f>'Stock complet'!C26</f>
        <v/>
      </c>
      <c r="D26" s="11">
        <f>'Stock complet'!L26</f>
        <v/>
      </c>
      <c r="E26" s="9">
        <f>'Stock complet'!D26</f>
        <v/>
      </c>
    </row>
    <row r="27">
      <c r="A27" s="8" t="inlineStr">
        <is>
          <t>Baskets Emporio Armani bleu lavande</t>
        </is>
      </c>
      <c r="B27" s="9">
        <f>'Stock complet'!B27</f>
        <v/>
      </c>
      <c r="C27" s="10">
        <f>'Stock complet'!C27</f>
        <v/>
      </c>
      <c r="D27" s="11">
        <f>'Stock complet'!L27</f>
        <v/>
      </c>
      <c r="E27" s="9">
        <f>'Stock complet'!D27</f>
        <v/>
      </c>
    </row>
    <row r="28">
      <c r="A28" s="8" t="inlineStr">
        <is>
          <t>New Balance BB80 blanc / marine</t>
        </is>
      </c>
      <c r="B28" s="9">
        <f>'Stock complet'!B28</f>
        <v/>
      </c>
      <c r="C28" s="10">
        <f>'Stock complet'!C28</f>
        <v/>
      </c>
      <c r="D28" s="11">
        <f>'Stock complet'!L28</f>
        <v/>
      </c>
      <c r="E28" s="9">
        <f>'Stock complet'!D28</f>
        <v/>
      </c>
    </row>
    <row r="29">
      <c r="A29" s="8" t="inlineStr">
        <is>
          <t>Tommy Jeans baskets basses noir / blanc</t>
        </is>
      </c>
      <c r="B29" s="9">
        <f>'Stock complet'!B29</f>
        <v/>
      </c>
      <c r="C29" s="10">
        <f>'Stock complet'!C29</f>
        <v/>
      </c>
      <c r="D29" s="11">
        <f>'Stock complet'!L29</f>
        <v/>
      </c>
      <c r="E29" s="9">
        <f>'Stock complet'!D29</f>
        <v/>
      </c>
    </row>
    <row r="30">
      <c r="A30" s="8" t="inlineStr">
        <is>
          <t>New Balance 650 blanche montante</t>
        </is>
      </c>
      <c r="B30" s="9">
        <f>'Stock complet'!B30</f>
        <v/>
      </c>
      <c r="C30" s="10">
        <f>'Stock complet'!C30</f>
        <v/>
      </c>
      <c r="D30" s="11">
        <f>'Stock complet'!L30</f>
        <v/>
      </c>
      <c r="E30" s="9">
        <f>'Stock complet'!D30</f>
        <v/>
      </c>
    </row>
    <row r="31">
      <c r="A31" s="8" t="inlineStr">
        <is>
          <t>Adidas Yeezy 700 V3 Mono Safflower</t>
        </is>
      </c>
      <c r="B31" s="9">
        <f>'Stock complet'!B31</f>
        <v/>
      </c>
      <c r="C31" s="10">
        <f>'Stock complet'!C31</f>
        <v/>
      </c>
      <c r="D31" s="11">
        <f>'Stock complet'!L31</f>
        <v/>
      </c>
      <c r="E31" s="9">
        <f>'Stock complet'!D31</f>
        <v/>
      </c>
    </row>
    <row r="32">
      <c r="A32" s="16" t="inlineStr">
        <is>
          <t>TOTAL</t>
        </is>
      </c>
      <c r="B32" s="17">
        <f>SUM(B5:B31)</f>
        <v/>
      </c>
      <c r="C32" s="17">
        <f>SUM(C5:C31)</f>
        <v/>
      </c>
      <c r="D32" s="17">
        <f>SUM(D5:D31)</f>
        <v/>
      </c>
      <c r="E32" s="17">
        <f>SUM(E5:E31)</f>
        <v/>
      </c>
    </row>
    <row r="34">
      <c r="A34" s="2" t="inlineStr">
        <is>
          <t>URSSAF = 12,3 % de cotisations + 0,1 % de CFP sur le prix encaissé. À provisionner à chaque vente.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12" customWidth="1" min="2" max="2"/>
    <col width="16" customWidth="1" min="3" max="3"/>
    <col width="13" customWidth="1" min="4" max="4"/>
    <col width="11" customWidth="1" min="5" max="5"/>
    <col width="6" customWidth="1" min="6" max="6"/>
    <col width="13" customWidth="1" min="7" max="7"/>
    <col width="13" customWidth="1" min="8" max="8"/>
    <col width="14" customWidth="1" min="9" max="9"/>
    <col width="12" customWidth="1" min="10" max="10"/>
    <col width="14" customWidth="1" min="11" max="11"/>
    <col width="13" customWidth="1" min="12" max="12"/>
    <col width="11" customWidth="1" min="13" max="13"/>
    <col width="8" customWidth="1" min="14" max="14"/>
    <col width="14" customWidth="1" min="15" max="15"/>
    <col width="20" customWidth="1" min="16" max="16"/>
    <col width="34" customWidth="1" min="17" max="17"/>
    <col width="26" customWidth="1" min="18" max="18"/>
    <col width="24" customWidth="1" min="19" max="19"/>
    <col width="22" customWidth="1" min="20" max="20"/>
    <col width="20" customWidth="1" min="21" max="21"/>
    <col width="13" customWidth="1" min="22" max="22"/>
  </cols>
  <sheetData>
    <row r="1">
      <c r="A1" s="1" t="inlineStr">
        <is>
          <t>Stock complet</t>
        </is>
      </c>
    </row>
    <row r="2">
      <c r="A2" s="2" t="inlineStr">
        <is>
          <t>27 lignes · 65 articles · trié par marge. Les 4 colonnes essentielles sont en tête. Lignes bleutées = lots.</t>
        </is>
      </c>
    </row>
    <row r="4" ht="40" customHeight="1">
      <c r="A4" s="3" t="inlineStr">
        <is>
          <t>Pièce</t>
        </is>
      </c>
      <c r="B4" s="3" t="inlineStr">
        <is>
          <t>Coût total</t>
        </is>
      </c>
      <c r="C4" s="3" t="inlineStr">
        <is>
          <t>PRIX DE VENTE</t>
        </is>
      </c>
      <c r="D4" s="3" t="inlineStr">
        <is>
          <t>Marge nette</t>
        </is>
      </c>
      <c r="E4" s="3" t="inlineStr">
        <is>
          <t>Rendement</t>
        </is>
      </c>
      <c r="F4" s="3" t="inlineStr">
        <is>
          <t>Nb</t>
        </is>
      </c>
      <c r="G4" s="3" t="inlineStr">
        <is>
          <t>Coût / article</t>
        </is>
      </c>
      <c r="H4" s="3" t="inlineStr">
        <is>
          <t>Prix / article</t>
        </is>
      </c>
      <c r="I4" s="3" t="inlineStr">
        <is>
          <t>Marge / article</t>
        </is>
      </c>
      <c r="J4" s="3" t="inlineStr">
        <is>
          <t>Prix marché</t>
        </is>
      </c>
      <c r="K4" s="3" t="inlineStr">
        <is>
          <t>Écart au marché</t>
        </is>
      </c>
      <c r="L4" s="3" t="inlineStr">
        <is>
          <t>URSSAF + CFP</t>
        </is>
      </c>
      <c r="M4" s="3" t="inlineStr">
        <is>
          <t>Frais carte</t>
        </is>
      </c>
      <c r="N4" s="3" t="inlineStr">
        <is>
          <t>Type</t>
        </is>
      </c>
      <c r="O4" s="3" t="inlineStr">
        <is>
          <t>Taille</t>
        </is>
      </c>
      <c r="P4" s="3" t="inlineStr">
        <is>
          <t>État</t>
        </is>
      </c>
      <c r="Q4" s="3" t="inlineStr">
        <is>
          <t>Source du prix marché</t>
        </is>
      </c>
      <c r="R4" s="3" t="inlineStr">
        <is>
          <t>Canal</t>
        </is>
      </c>
      <c r="S4" s="3" t="inlineStr">
        <is>
          <t>Mode de vente</t>
        </is>
      </c>
      <c r="T4" s="3" t="inlineStr">
        <is>
          <t>Statut</t>
        </is>
      </c>
      <c r="U4" s="3" t="inlineStr">
        <is>
          <t>Priorité</t>
        </is>
      </c>
      <c r="V4" s="3" t="inlineStr">
        <is>
          <t>Vendu le</t>
        </is>
      </c>
    </row>
    <row r="5">
      <c r="A5" s="4" t="inlineStr">
        <is>
          <t>Adidas Predator Edge.1 TF ×2</t>
        </is>
      </c>
      <c r="B5" s="18" t="n">
        <v>40</v>
      </c>
      <c r="C5" s="6" t="n">
        <v>178</v>
      </c>
      <c r="D5" s="6">
        <f>IF($C5="","",$C5-$B5-$L5-$M5)</f>
        <v/>
      </c>
      <c r="E5" s="19">
        <f>IF($D5="","",$D5/$B5)</f>
        <v/>
      </c>
      <c r="F5" s="20" t="n">
        <v>2</v>
      </c>
      <c r="G5" s="5">
        <f>$B5/$F5</f>
        <v/>
      </c>
      <c r="H5" s="5">
        <f>IF($C5="","",$C5/$F5)</f>
        <v/>
      </c>
      <c r="I5" s="5">
        <f>IF($D5="","",$D5/$F5)</f>
        <v/>
      </c>
      <c r="J5" s="18" t="n">
        <v>220</v>
      </c>
      <c r="K5" s="19">
        <f>IF(OR($J5="",$C5=""),"",$C5/$J5-1)</f>
        <v/>
      </c>
      <c r="L5" s="5">
        <f>IF($C5="","",$C5*(Paramètres!$B$5+Paramètres!$B$6))</f>
        <v/>
      </c>
      <c r="M5" s="5">
        <f>IF($C5="","",$C5*Paramètres!$B$7)</f>
        <v/>
      </c>
      <c r="N5" s="4" t="inlineStr">
        <is>
          <t>Lot</t>
        </is>
      </c>
      <c r="O5" s="4" t="inlineStr">
        <is>
          <t>48⅔</t>
        </is>
      </c>
      <c r="P5" s="4" t="inlineStr">
        <is>
          <t>Neuves avec boîte</t>
        </is>
      </c>
      <c r="Q5" s="21" t="inlineStr">
        <is>
          <t>~110 € la paire</t>
        </is>
      </c>
      <c r="R5" s="4" t="inlineStr">
        <is>
          <t>eBay + Leboncoin</t>
        </is>
      </c>
      <c r="S5" s="4" t="inlineStr">
        <is>
          <t>À l'unité, 89 € la paire</t>
        </is>
      </c>
      <c r="T5" s="4" t="inlineStr">
        <is>
          <t>Reçues</t>
        </is>
      </c>
      <c r="U5" s="4" t="inlineStr">
        <is>
          <t>Normal</t>
        </is>
      </c>
      <c r="V5" s="22" t="n"/>
    </row>
    <row r="6">
      <c r="A6" s="4" t="inlineStr">
        <is>
          <t>Lot 20 sandales et tongs (Relife, Tommy, Chattawak, Malabar)</t>
        </is>
      </c>
      <c r="B6" s="18" t="n">
        <v>100.7</v>
      </c>
      <c r="C6" s="6" t="n">
        <v>199</v>
      </c>
      <c r="D6" s="6">
        <f>IF($C6="","",$C6-$B6-$L6-$M6)</f>
        <v/>
      </c>
      <c r="E6" s="19">
        <f>IF($D6="","",$D6/$B6)</f>
        <v/>
      </c>
      <c r="F6" s="20" t="n">
        <v>20</v>
      </c>
      <c r="G6" s="5">
        <f>$B6/$F6</f>
        <v/>
      </c>
      <c r="H6" s="5">
        <f>IF($C6="","",$C6/$F6)</f>
        <v/>
      </c>
      <c r="I6" s="5">
        <f>IF($D6="","",$D6/$F6)</f>
        <v/>
      </c>
      <c r="J6" s="18" t="n">
        <v>400</v>
      </c>
      <c r="K6" s="19">
        <f>IF(OR($J6="",$C6=""),"",$C6/$J6-1)</f>
        <v/>
      </c>
      <c r="L6" s="5">
        <f>IF($C6="","",$C6*(Paramètres!$B$5+Paramètres!$B$6))</f>
        <v/>
      </c>
      <c r="M6" s="5">
        <f>IF($C6="","",$C6*Paramètres!$B$7)</f>
        <v/>
      </c>
      <c r="N6" s="4" t="inlineStr">
        <is>
          <t>Lot</t>
        </is>
      </c>
      <c r="O6" s="4" t="inlineStr">
        <is>
          <t>variées</t>
        </is>
      </c>
      <c r="P6" s="4" t="inlineStr">
        <is>
          <t>Neuves</t>
        </is>
      </c>
      <c r="Q6" s="21" t="inlineStr">
        <is>
          <t>~400 € valeur boutique du lot</t>
        </is>
      </c>
      <c r="R6" s="4" t="inlineStr">
        <is>
          <t>Leboncoin B2B</t>
        </is>
      </c>
      <c r="S6" s="4" t="inlineStr">
        <is>
          <t>En lot</t>
        </is>
      </c>
      <c r="T6" s="4" t="inlineStr">
        <is>
          <t>À recevoir</t>
        </is>
      </c>
      <c r="U6" s="4" t="inlineStr">
        <is>
          <t>Février-mars</t>
        </is>
      </c>
      <c r="V6" s="22" t="n"/>
    </row>
    <row r="7">
      <c r="A7" s="8" t="inlineStr">
        <is>
          <t>Bottes Forma Legacy Waterproof</t>
        </is>
      </c>
      <c r="B7" s="23" t="n">
        <v>76</v>
      </c>
      <c r="C7" s="10" t="n">
        <v>159</v>
      </c>
      <c r="D7" s="10">
        <f>IF($C7="","",$C7-$B7-$L7-$M7)</f>
        <v/>
      </c>
      <c r="E7" s="24">
        <f>IF($D7="","",$D7/$B7)</f>
        <v/>
      </c>
      <c r="F7" s="25" t="n">
        <v>1</v>
      </c>
      <c r="G7" s="9">
        <f>$B7/$F7</f>
        <v/>
      </c>
      <c r="H7" s="9">
        <f>IF($C7="","",$C7/$F7)</f>
        <v/>
      </c>
      <c r="I7" s="9">
        <f>IF($D7="","",$D7/$F7)</f>
        <v/>
      </c>
      <c r="J7" s="23" t="n">
        <v>172.49</v>
      </c>
      <c r="K7" s="24">
        <f>IF(OR($J7="",$C7=""),"",$C7/$J7-1)</f>
        <v/>
      </c>
      <c r="L7" s="9">
        <f>IF($C7="","",$C7*(Paramètres!$B$5+Paramètres!$B$6))</f>
        <v/>
      </c>
      <c r="M7" s="9">
        <f>IF($C7="","",$C7*Paramètres!$B$7)</f>
        <v/>
      </c>
      <c r="N7" s="8" t="inlineStr">
        <is>
          <t>Unique</t>
        </is>
      </c>
      <c r="O7" s="8" t="inlineStr">
        <is>
          <t>45</t>
        </is>
      </c>
      <c r="P7" s="8" t="inlineStr">
        <is>
          <t>Neuves</t>
        </is>
      </c>
      <c r="Q7" s="26" t="inlineStr">
        <is>
          <t>172,49 € Dafy Moto</t>
        </is>
      </c>
      <c r="R7" s="8" t="inlineStr">
        <is>
          <t>Boutique + Vinted + Leboncoin</t>
        </is>
      </c>
      <c r="S7" s="8" t="inlineStr">
        <is>
          <t>Pièce seule</t>
        </is>
      </c>
      <c r="T7" s="8" t="inlineStr">
        <is>
          <t>À recevoir</t>
        </is>
      </c>
      <c r="U7" s="8" t="inlineStr">
        <is>
          <t>Normal</t>
        </is>
      </c>
      <c r="V7" s="27" t="n"/>
    </row>
    <row r="8">
      <c r="A8" s="8" t="inlineStr">
        <is>
          <t>Robe Elisabetta Franchi ivoire, viscose</t>
        </is>
      </c>
      <c r="B8" s="23" t="n">
        <v>26</v>
      </c>
      <c r="C8" s="10" t="n">
        <v>99</v>
      </c>
      <c r="D8" s="10">
        <f>IF($C8="","",$C8-$B8-$L8-$M8)</f>
        <v/>
      </c>
      <c r="E8" s="24">
        <f>IF($D8="","",$D8/$B8)</f>
        <v/>
      </c>
      <c r="F8" s="25" t="n">
        <v>1</v>
      </c>
      <c r="G8" s="9">
        <f>$B8/$F8</f>
        <v/>
      </c>
      <c r="H8" s="9">
        <f>IF($C8="","",$C8/$F8)</f>
        <v/>
      </c>
      <c r="I8" s="9">
        <f>IF($D8="","",$D8/$F8)</f>
        <v/>
      </c>
      <c r="J8" s="27" t="n"/>
      <c r="K8" s="24">
        <f>IF(OR($J8="",$C8=""),"",$C8/$J8-1)</f>
        <v/>
      </c>
      <c r="L8" s="9">
        <f>IF($C8="","",$C8*(Paramètres!$B$5+Paramètres!$B$6))</f>
        <v/>
      </c>
      <c r="M8" s="9">
        <f>IF($C8="","",$C8*Paramètres!$B$7)</f>
        <v/>
      </c>
      <c r="N8" s="8" t="inlineStr">
        <is>
          <t>Unique</t>
        </is>
      </c>
      <c r="O8" s="8" t="inlineStr">
        <is>
          <t>46 IT / 42 FR</t>
        </is>
      </c>
      <c r="P8" s="8" t="inlineStr">
        <is>
          <t>Neuve avec étiquette</t>
        </is>
      </c>
      <c r="Q8" s="26" t="inlineStr">
        <is>
          <t>Outlet officiel −80 %</t>
        </is>
      </c>
      <c r="R8" s="8" t="inlineStr">
        <is>
          <t>Boutique</t>
        </is>
      </c>
      <c r="S8" s="8" t="inlineStr">
        <is>
          <t>Pièce seule</t>
        </is>
      </c>
      <c r="T8" s="8" t="inlineStr">
        <is>
          <t>Reçue</t>
        </is>
      </c>
      <c r="U8" s="8" t="inlineStr">
        <is>
          <t>Normal</t>
        </is>
      </c>
      <c r="V8" s="27" t="n"/>
    </row>
    <row r="9">
      <c r="A9" s="8" t="inlineStr">
        <is>
          <t>Ballerines Hogan 186 Zeppa Fashion</t>
        </is>
      </c>
      <c r="B9" s="23" t="n">
        <v>15</v>
      </c>
      <c r="C9" s="10" t="n">
        <v>79</v>
      </c>
      <c r="D9" s="10">
        <f>IF($C9="","",$C9-$B9-$L9-$M9)</f>
        <v/>
      </c>
      <c r="E9" s="24">
        <f>IF($D9="","",$D9/$B9)</f>
        <v/>
      </c>
      <c r="F9" s="25" t="n">
        <v>1</v>
      </c>
      <c r="G9" s="9">
        <f>$B9/$F9</f>
        <v/>
      </c>
      <c r="H9" s="9">
        <f>IF($C9="","",$C9/$F9)</f>
        <v/>
      </c>
      <c r="I9" s="9">
        <f>IF($D9="","",$D9/$F9)</f>
        <v/>
      </c>
      <c r="J9" s="23" t="n">
        <v>83</v>
      </c>
      <c r="K9" s="24">
        <f>IF(OR($J9="",$C9=""),"",$C9/$J9-1)</f>
        <v/>
      </c>
      <c r="L9" s="9">
        <f>IF($C9="","",$C9*(Paramètres!$B$5+Paramètres!$B$6))</f>
        <v/>
      </c>
      <c r="M9" s="9">
        <f>IF($C9="","",$C9*Paramètres!$B$7)</f>
        <v/>
      </c>
      <c r="N9" s="8" t="inlineStr">
        <is>
          <t>Unique</t>
        </is>
      </c>
      <c r="O9" s="8" t="inlineStr">
        <is>
          <t>36</t>
        </is>
      </c>
      <c r="P9" s="8" t="inlineStr">
        <is>
          <t>Neuves avec boîte</t>
        </is>
      </c>
      <c r="Q9" s="26" t="inlineStr">
        <is>
          <t>83 € Lyst</t>
        </is>
      </c>
      <c r="R9" s="8" t="inlineStr">
        <is>
          <t>Boutique</t>
        </is>
      </c>
      <c r="S9" s="8" t="inlineStr">
        <is>
          <t>Pièce seule</t>
        </is>
      </c>
      <c r="T9" s="8" t="inlineStr">
        <is>
          <t>Reçues</t>
        </is>
      </c>
      <c r="U9" s="8" t="inlineStr">
        <is>
          <t>Normal</t>
        </is>
      </c>
      <c r="V9" s="27" t="n"/>
    </row>
    <row r="10">
      <c r="A10" s="8" t="inlineStr">
        <is>
          <t>Jupe Sonia Rykiel midi twill cerises</t>
        </is>
      </c>
      <c r="B10" s="23" t="n">
        <v>42.8</v>
      </c>
      <c r="C10" s="10" t="n">
        <v>99</v>
      </c>
      <c r="D10" s="10">
        <f>IF($C10="","",$C10-$B10-$L10-$M10)</f>
        <v/>
      </c>
      <c r="E10" s="24">
        <f>IF($D10="","",$D10/$B10)</f>
        <v/>
      </c>
      <c r="F10" s="25" t="n">
        <v>1</v>
      </c>
      <c r="G10" s="9">
        <f>$B10/$F10</f>
        <v/>
      </c>
      <c r="H10" s="9">
        <f>IF($C10="","",$C10/$F10)</f>
        <v/>
      </c>
      <c r="I10" s="9">
        <f>IF($D10="","",$D10/$F10)</f>
        <v/>
      </c>
      <c r="J10" s="27" t="n"/>
      <c r="K10" s="24">
        <f>IF(OR($J10="",$C10=""),"",$C10/$J10-1)</f>
        <v/>
      </c>
      <c r="L10" s="9">
        <f>IF($C10="","",$C10*(Paramètres!$B$5+Paramètres!$B$6))</f>
        <v/>
      </c>
      <c r="M10" s="9">
        <f>IF($C10="","",$C10*Paramètres!$B$7)</f>
        <v/>
      </c>
      <c r="N10" s="8" t="inlineStr">
        <is>
          <t>Unique</t>
        </is>
      </c>
      <c r="O10" s="8" t="inlineStr">
        <is>
          <t>34</t>
        </is>
      </c>
      <c r="P10" s="8" t="inlineStr">
        <is>
          <t>Neuve avec étiquette</t>
        </is>
      </c>
      <c r="Q10" s="26" t="inlineStr">
        <is>
          <t>Jaiio −80 % · marque liquidée en 2019</t>
        </is>
      </c>
      <c r="R10" s="8" t="inlineStr">
        <is>
          <t>Boutique</t>
        </is>
      </c>
      <c r="S10" s="8" t="inlineStr">
        <is>
          <t>Pièce seule</t>
        </is>
      </c>
      <c r="T10" s="8" t="inlineStr">
        <is>
          <t>Reçue</t>
        </is>
      </c>
      <c r="U10" s="8" t="inlineStr">
        <is>
          <t>Normal</t>
        </is>
      </c>
      <c r="V10" s="27" t="n"/>
    </row>
    <row r="11">
      <c r="A11" s="4" t="inlineStr">
        <is>
          <t>Morgan — 6 vêtements femme</t>
        </is>
      </c>
      <c r="B11" s="18" t="n">
        <v>40</v>
      </c>
      <c r="C11" s="6" t="n">
        <v>92</v>
      </c>
      <c r="D11" s="6">
        <f>IF($C11="","",$C11-$B11-$L11-$M11)</f>
        <v/>
      </c>
      <c r="E11" s="19">
        <f>IF($D11="","",$D11/$B11)</f>
        <v/>
      </c>
      <c r="F11" s="20" t="n">
        <v>6</v>
      </c>
      <c r="G11" s="5">
        <f>$B11/$F11</f>
        <v/>
      </c>
      <c r="H11" s="5">
        <f>IF($C11="","",$C11/$F11)</f>
        <v/>
      </c>
      <c r="I11" s="5">
        <f>IF($D11="","",$D11/$F11)</f>
        <v/>
      </c>
      <c r="J11" s="22" t="n"/>
      <c r="K11" s="19">
        <f>IF(OR($J11="",$C11=""),"",$C11/$J11-1)</f>
        <v/>
      </c>
      <c r="L11" s="5">
        <f>IF($C11="","",$C11*(Paramètres!$B$5+Paramètres!$B$6))</f>
        <v/>
      </c>
      <c r="M11" s="5">
        <f>IF($C11="","",$C11*Paramètres!$B$7)</f>
        <v/>
      </c>
      <c r="N11" s="4" t="inlineStr">
        <is>
          <t>Lot</t>
        </is>
      </c>
      <c r="O11" s="4" t="inlineStr">
        <is>
          <t>40 et L</t>
        </is>
      </c>
      <c r="P11" s="4" t="inlineStr">
        <is>
          <t>Neufs avec étiquette</t>
        </is>
      </c>
      <c r="Q11" s="21" t="inlineStr">
        <is>
          <t>Modz −50 % · Once Again −80 %</t>
        </is>
      </c>
      <c r="R11" s="4" t="inlineStr">
        <is>
          <t>Leboncoin + eBay</t>
        </is>
      </c>
      <c r="S11" s="4" t="inlineStr">
        <is>
          <t>À l'unité</t>
        </is>
      </c>
      <c r="T11" s="4" t="inlineStr">
        <is>
          <t>Reçus</t>
        </is>
      </c>
      <c r="U11" s="4" t="inlineStr">
        <is>
          <t>Normal</t>
        </is>
      </c>
      <c r="V11" s="22" t="n"/>
    </row>
    <row r="12">
      <c r="A12" s="8" t="inlineStr">
        <is>
          <t>BMW Overall ProRain unisexe noir</t>
        </is>
      </c>
      <c r="B12" s="23" t="n">
        <v>82.61</v>
      </c>
      <c r="C12" s="10" t="n">
        <v>139</v>
      </c>
      <c r="D12" s="10">
        <f>IF($C12="","",$C12-$B12-$L12-$M12)</f>
        <v/>
      </c>
      <c r="E12" s="24">
        <f>IF($D12="","",$D12/$B12)</f>
        <v/>
      </c>
      <c r="F12" s="25" t="n">
        <v>1</v>
      </c>
      <c r="G12" s="9">
        <f>$B12/$F12</f>
        <v/>
      </c>
      <c r="H12" s="9">
        <f>IF($C12="","",$C12/$F12)</f>
        <v/>
      </c>
      <c r="I12" s="9">
        <f>IF($D12="","",$D12/$F12)</f>
        <v/>
      </c>
      <c r="J12" s="23" t="n">
        <v>170</v>
      </c>
      <c r="K12" s="24">
        <f>IF(OR($J12="",$C12=""),"",$C12/$J12-1)</f>
        <v/>
      </c>
      <c r="L12" s="9">
        <f>IF($C12="","",$C12*(Paramètres!$B$5+Paramètres!$B$6))</f>
        <v/>
      </c>
      <c r="M12" s="9">
        <f>IF($C12="","",$C12*Paramètres!$B$7)</f>
        <v/>
      </c>
      <c r="N12" s="8" t="inlineStr">
        <is>
          <t>Unique</t>
        </is>
      </c>
      <c r="O12" s="8" t="inlineStr">
        <is>
          <t>XL</t>
        </is>
      </c>
      <c r="P12" s="8" t="inlineStr">
        <is>
          <t>Neuf</t>
        </is>
      </c>
      <c r="Q12" s="26" t="inlineStr">
        <is>
          <t>170 € coloris noir</t>
        </is>
      </c>
      <c r="R12" s="8" t="inlineStr">
        <is>
          <t>Leboncoin + Vinted</t>
        </is>
      </c>
      <c r="S12" s="8" t="inlineStr">
        <is>
          <t>Pièce seule</t>
        </is>
      </c>
      <c r="T12" s="8" t="inlineStr">
        <is>
          <t>À recevoir</t>
        </is>
      </c>
      <c r="U12" s="8" t="inlineStr">
        <is>
          <t>Normal</t>
        </is>
      </c>
      <c r="V12" s="27" t="n"/>
    </row>
    <row r="13">
      <c r="A13" s="8" t="inlineStr">
        <is>
          <t>Baskets adidas by Stella McCartney UltraBoost 21</t>
        </is>
      </c>
      <c r="B13" s="23" t="n">
        <v>35</v>
      </c>
      <c r="C13" s="10" t="n">
        <v>79</v>
      </c>
      <c r="D13" s="10">
        <f>IF($C13="","",$C13-$B13-$L13-$M13)</f>
        <v/>
      </c>
      <c r="E13" s="24">
        <f>IF($D13="","",$D13/$B13)</f>
        <v/>
      </c>
      <c r="F13" s="25" t="n">
        <v>1</v>
      </c>
      <c r="G13" s="9">
        <f>$B13/$F13</f>
        <v/>
      </c>
      <c r="H13" s="9">
        <f>IF($C13="","",$C13/$F13)</f>
        <v/>
      </c>
      <c r="I13" s="9">
        <f>IF($D13="","",$D13/$F13)</f>
        <v/>
      </c>
      <c r="J13" s="23" t="n">
        <v>94</v>
      </c>
      <c r="K13" s="24">
        <f>IF(OR($J13="",$C13=""),"",$C13/$J13-1)</f>
        <v/>
      </c>
      <c r="L13" s="9">
        <f>IF($C13="","",$C13*(Paramètres!$B$5+Paramètres!$B$6))</f>
        <v/>
      </c>
      <c r="M13" s="9">
        <f>IF($C13="","",$C13*Paramètres!$B$7)</f>
        <v/>
      </c>
      <c r="N13" s="8" t="inlineStr">
        <is>
          <t>Unique</t>
        </is>
      </c>
      <c r="O13" s="8" t="inlineStr">
        <is>
          <t>36</t>
        </is>
      </c>
      <c r="P13" s="8" t="inlineStr">
        <is>
          <t>Neuves avec boîte</t>
        </is>
      </c>
      <c r="Q13" s="26" t="inlineStr">
        <is>
          <t>94 € eBay.de</t>
        </is>
      </c>
      <c r="R13" s="8" t="inlineStr">
        <is>
          <t>Boutique</t>
        </is>
      </c>
      <c r="S13" s="8" t="inlineStr">
        <is>
          <t>Pièce seule</t>
        </is>
      </c>
      <c r="T13" s="8" t="inlineStr">
        <is>
          <t>Reçues</t>
        </is>
      </c>
      <c r="U13" s="8" t="inlineStr">
        <is>
          <t>Normal</t>
        </is>
      </c>
      <c r="V13" s="27" t="n"/>
    </row>
    <row r="14">
      <c r="A14" s="8" t="inlineStr">
        <is>
          <t>Blazer Karl Lagerfeld punto noir</t>
        </is>
      </c>
      <c r="B14" s="23" t="n">
        <v>45</v>
      </c>
      <c r="C14" s="10" t="n">
        <v>89</v>
      </c>
      <c r="D14" s="10">
        <f>IF($C14="","",$C14-$B14-$L14-$M14)</f>
        <v/>
      </c>
      <c r="E14" s="24">
        <f>IF($D14="","",$D14/$B14)</f>
        <v/>
      </c>
      <c r="F14" s="25" t="n">
        <v>1</v>
      </c>
      <c r="G14" s="9">
        <f>$B14/$F14</f>
        <v/>
      </c>
      <c r="H14" s="9">
        <f>IF($C14="","",$C14/$F14)</f>
        <v/>
      </c>
      <c r="I14" s="9">
        <f>IF($D14="","",$D14/$F14)</f>
        <v/>
      </c>
      <c r="J14" s="27" t="n"/>
      <c r="K14" s="24">
        <f>IF(OR($J14="",$C14=""),"",$C14/$J14-1)</f>
        <v/>
      </c>
      <c r="L14" s="9">
        <f>IF($C14="","",$C14*(Paramètres!$B$5+Paramètres!$B$6))</f>
        <v/>
      </c>
      <c r="M14" s="9">
        <f>IF($C14="","",$C14*Paramètres!$B$7)</f>
        <v/>
      </c>
      <c r="N14" s="8" t="inlineStr">
        <is>
          <t>Unique</t>
        </is>
      </c>
      <c r="O14" s="8" t="inlineStr">
        <is>
          <t>36 FR / IT 40</t>
        </is>
      </c>
      <c r="P14" s="8" t="inlineStr">
        <is>
          <t>Neuf avec étiquette</t>
        </is>
      </c>
      <c r="Q14" s="26" t="inlineStr">
        <is>
          <t>Otrium outlet · Lyst dès 50 €</t>
        </is>
      </c>
      <c r="R14" s="8" t="inlineStr">
        <is>
          <t>Boutique</t>
        </is>
      </c>
      <c r="S14" s="8" t="inlineStr">
        <is>
          <t>Pièce seule</t>
        </is>
      </c>
      <c r="T14" s="8" t="inlineStr">
        <is>
          <t>Reçu</t>
        </is>
      </c>
      <c r="U14" s="8" t="inlineStr">
        <is>
          <t>Normal</t>
        </is>
      </c>
      <c r="V14" s="27" t="n"/>
    </row>
    <row r="15">
      <c r="A15" s="12" t="inlineStr">
        <is>
          <t>Salomon X Ultra 5 Mid GTX</t>
        </is>
      </c>
      <c r="B15" s="28" t="n">
        <v>65</v>
      </c>
      <c r="C15" s="14" t="n">
        <v>100</v>
      </c>
      <c r="D15" s="14">
        <f>IF($C15="","",$C15-$B15-$L15-$M15)</f>
        <v/>
      </c>
      <c r="E15" s="29">
        <f>IF($D15="","",$D15/$B15)</f>
        <v/>
      </c>
      <c r="F15" s="30" t="n">
        <v>1</v>
      </c>
      <c r="G15" s="13">
        <f>$B15/$F15</f>
        <v/>
      </c>
      <c r="H15" s="13">
        <f>IF($C15="","",$C15/$F15)</f>
        <v/>
      </c>
      <c r="I15" s="13">
        <f>IF($D15="","",$D15/$F15)</f>
        <v/>
      </c>
      <c r="J15" s="28" t="n">
        <v>116</v>
      </c>
      <c r="K15" s="29">
        <f>IF(OR($J15="",$C15=""),"",$C15/$J15-1)</f>
        <v/>
      </c>
      <c r="L15" s="13">
        <f>IF($C15="","",$C15*(Paramètres!$B$5+Paramètres!$B$6))</f>
        <v/>
      </c>
      <c r="M15" s="28" t="n">
        <v>0</v>
      </c>
      <c r="N15" s="12" t="inlineStr">
        <is>
          <t>Unique</t>
        </is>
      </c>
      <c r="O15" s="12" t="inlineStr">
        <is>
          <t>44</t>
        </is>
      </c>
      <c r="P15" s="12" t="inlineStr">
        <is>
          <t>Neuves</t>
        </is>
      </c>
      <c r="Q15" s="31" t="inlineStr">
        <is>
          <t>116 €</t>
        </is>
      </c>
      <c r="R15" s="12" t="inlineStr">
        <is>
          <t>Vinted, acheteur en Italie</t>
        </is>
      </c>
      <c r="S15" s="12" t="inlineStr">
        <is>
          <t>VENDUE le 12/08/2026</t>
        </is>
      </c>
      <c r="T15" s="12" t="inlineStr">
        <is>
          <t>VENDUE</t>
        </is>
      </c>
      <c r="U15" s="12" t="inlineStr">
        <is>
          <t>Vendu</t>
        </is>
      </c>
      <c r="V15" s="12" t="inlineStr">
        <is>
          <t>12/08/2026</t>
        </is>
      </c>
    </row>
    <row r="16">
      <c r="A16" s="4" t="inlineStr">
        <is>
          <t>Mrs.Ertha — gilets de flottaison 3-6 ans</t>
        </is>
      </c>
      <c r="B16" s="18" t="n">
        <v>37.8</v>
      </c>
      <c r="C16" s="6" t="n">
        <v>76</v>
      </c>
      <c r="D16" s="6">
        <f>IF($C16="","",$C16-$B16-$L16-$M16)</f>
        <v/>
      </c>
      <c r="E16" s="19">
        <f>IF($D16="","",$D16/$B16)</f>
        <v/>
      </c>
      <c r="F16" s="20" t="n">
        <v>4</v>
      </c>
      <c r="G16" s="5">
        <f>$B16/$F16</f>
        <v/>
      </c>
      <c r="H16" s="5">
        <f>IF($C16="","",$C16/$F16)</f>
        <v/>
      </c>
      <c r="I16" s="5">
        <f>IF($D16="","",$D16/$F16)</f>
        <v/>
      </c>
      <c r="J16" s="18" t="n">
        <v>80</v>
      </c>
      <c r="K16" s="19">
        <f>IF(OR($J16="",$C16=""),"",$C16/$J16-1)</f>
        <v/>
      </c>
      <c r="L16" s="5">
        <f>IF($C16="","",$C16*(Paramètres!$B$5+Paramètres!$B$6))</f>
        <v/>
      </c>
      <c r="M16" s="5">
        <f>IF($C16="","",$C16*Paramètres!$B$7)</f>
        <v/>
      </c>
      <c r="N16" s="4" t="inlineStr">
        <is>
          <t>Lot</t>
        </is>
      </c>
      <c r="O16" s="4" t="inlineStr">
        <is>
          <t>3-6 ans</t>
        </is>
      </c>
      <c r="P16" s="4" t="inlineStr">
        <is>
          <t>Neufs</t>
        </is>
      </c>
      <c r="Q16" s="21" t="inlineStr">
        <is>
          <t>20 € Decathlon équivalent</t>
        </is>
      </c>
      <c r="R16" s="4" t="inlineStr">
        <is>
          <t>Leboncoin + Vinted</t>
        </is>
      </c>
      <c r="S16" s="4" t="inlineStr">
        <is>
          <t>À l'unité, 19 € le gilet</t>
        </is>
      </c>
      <c r="T16" s="4" t="inlineStr">
        <is>
          <t>Reçus</t>
        </is>
      </c>
      <c r="U16" s="4" t="inlineStr">
        <is>
          <t>URGENT — saisonnier</t>
        </is>
      </c>
      <c r="V16" s="22" t="n"/>
    </row>
    <row r="17">
      <c r="A17" s="4" t="inlineStr">
        <is>
          <t>Robby VP550W — pompes immergées 550 W ×2</t>
        </is>
      </c>
      <c r="B17" s="18" t="n">
        <v>45</v>
      </c>
      <c r="C17" s="6" t="n">
        <v>84</v>
      </c>
      <c r="D17" s="6">
        <f>IF($C17="","",$C17-$B17-$L17-$M17)</f>
        <v/>
      </c>
      <c r="E17" s="19">
        <f>IF($D17="","",$D17/$B17)</f>
        <v/>
      </c>
      <c r="F17" s="20" t="n">
        <v>2</v>
      </c>
      <c r="G17" s="5">
        <f>$B17/$F17</f>
        <v/>
      </c>
      <c r="H17" s="5">
        <f>IF($C17="","",$C17/$F17)</f>
        <v/>
      </c>
      <c r="I17" s="5">
        <f>IF($D17="","",$D17/$F17)</f>
        <v/>
      </c>
      <c r="J17" s="18" t="n">
        <v>109.8</v>
      </c>
      <c r="K17" s="19">
        <f>IF(OR($J17="",$C17=""),"",$C17/$J17-1)</f>
        <v/>
      </c>
      <c r="L17" s="5">
        <f>IF($C17="","",$C17*(Paramètres!$B$5+Paramètres!$B$6))</f>
        <v/>
      </c>
      <c r="M17" s="18" t="n">
        <v>0</v>
      </c>
      <c r="N17" s="4" t="inlineStr">
        <is>
          <t>Lot</t>
        </is>
      </c>
      <c r="O17" s="4" t="inlineStr">
        <is>
          <t>—</t>
        </is>
      </c>
      <c r="P17" s="4" t="inlineStr">
        <is>
          <t>Très bon état, jamais utilisées</t>
        </is>
      </c>
      <c r="Q17" s="21" t="inlineStr">
        <is>
          <t>54,90 € neuve, idealo</t>
        </is>
      </c>
      <c r="R17" s="4" t="inlineStr">
        <is>
          <t>Leboncoin, main propre</t>
        </is>
      </c>
      <c r="S17" s="4" t="inlineStr">
        <is>
          <t>À l'unité, 42 € pièce</t>
        </is>
      </c>
      <c r="T17" s="4" t="inlineStr">
        <is>
          <t>Reçues</t>
        </is>
      </c>
      <c r="U17" s="4" t="inlineStr">
        <is>
          <t>Normal</t>
        </is>
      </c>
      <c r="V17" s="22" t="n"/>
    </row>
    <row r="18">
      <c r="A18" s="8" t="inlineStr">
        <is>
          <t>Robe Sandro Noaim blanche</t>
        </is>
      </c>
      <c r="B18" s="23" t="n">
        <v>50.04</v>
      </c>
      <c r="C18" s="10" t="n">
        <v>89</v>
      </c>
      <c r="D18" s="10">
        <f>IF($C18="","",$C18-$B18-$L18-$M18)</f>
        <v/>
      </c>
      <c r="E18" s="24">
        <f>IF($D18="","",$D18/$B18)</f>
        <v/>
      </c>
      <c r="F18" s="25" t="n">
        <v>1</v>
      </c>
      <c r="G18" s="9">
        <f>$B18/$F18</f>
        <v/>
      </c>
      <c r="H18" s="9">
        <f>IF($C18="","",$C18/$F18)</f>
        <v/>
      </c>
      <c r="I18" s="9">
        <f>IF($D18="","",$D18/$F18)</f>
        <v/>
      </c>
      <c r="J18" s="27" t="n"/>
      <c r="K18" s="24">
        <f>IF(OR($J18="",$C18=""),"",$C18/$J18-1)</f>
        <v/>
      </c>
      <c r="L18" s="9">
        <f>IF($C18="","",$C18*(Paramètres!$B$5+Paramètres!$B$6))</f>
        <v/>
      </c>
      <c r="M18" s="9">
        <f>IF($C18="","",$C18*Paramètres!$B$7)</f>
        <v/>
      </c>
      <c r="N18" s="8" t="inlineStr">
        <is>
          <t>Unique</t>
        </is>
      </c>
      <c r="O18" s="8" t="inlineStr">
        <is>
          <t>40</t>
        </is>
      </c>
      <c r="P18" s="8" t="inlineStr">
        <is>
          <t>Neuve avec étiquette</t>
        </is>
      </c>
      <c r="Q18" s="26" t="inlineStr">
        <is>
          <t>Once Again −90 % · Stylight −99 %</t>
        </is>
      </c>
      <c r="R18" s="8" t="inlineStr">
        <is>
          <t>Boutique</t>
        </is>
      </c>
      <c r="S18" s="8" t="inlineStr">
        <is>
          <t>Pièce seule</t>
        </is>
      </c>
      <c r="T18" s="8" t="inlineStr">
        <is>
          <t>Reçue</t>
        </is>
      </c>
      <c r="U18" s="8" t="inlineStr">
        <is>
          <t>Normal</t>
        </is>
      </c>
      <c r="V18" s="27" t="n"/>
    </row>
    <row r="19">
      <c r="A19" s="8" t="inlineStr">
        <is>
          <t>Ballerines Massimo Dutti cuir rouge</t>
        </is>
      </c>
      <c r="B19" s="23" t="n">
        <v>25</v>
      </c>
      <c r="C19" s="10" t="n">
        <v>59</v>
      </c>
      <c r="D19" s="10">
        <f>IF($C19="","",$C19-$B19-$L19-$M19)</f>
        <v/>
      </c>
      <c r="E19" s="24">
        <f>IF($D19="","",$D19/$B19)</f>
        <v/>
      </c>
      <c r="F19" s="25" t="n">
        <v>1</v>
      </c>
      <c r="G19" s="9">
        <f>$B19/$F19</f>
        <v/>
      </c>
      <c r="H19" s="9">
        <f>IF($C19="","",$C19/$F19)</f>
        <v/>
      </c>
      <c r="I19" s="9">
        <f>IF($D19="","",$D19/$F19)</f>
        <v/>
      </c>
      <c r="J19" s="23" t="n">
        <v>70</v>
      </c>
      <c r="K19" s="24">
        <f>IF(OR($J19="",$C19=""),"",$C19/$J19-1)</f>
        <v/>
      </c>
      <c r="L19" s="9">
        <f>IF($C19="","",$C19*(Paramètres!$B$5+Paramètres!$B$6))</f>
        <v/>
      </c>
      <c r="M19" s="9">
        <f>IF($C19="","",$C19*Paramètres!$B$7)</f>
        <v/>
      </c>
      <c r="N19" s="8" t="inlineStr">
        <is>
          <t>Unique</t>
        </is>
      </c>
      <c r="O19" s="8" t="inlineStr">
        <is>
          <t>40 IT</t>
        </is>
      </c>
      <c r="P19" s="8" t="inlineStr">
        <is>
          <t>Neuves avec boîte</t>
        </is>
      </c>
      <c r="Q19" s="26" t="inlineStr">
        <is>
          <t>70 €</t>
        </is>
      </c>
      <c r="R19" s="8" t="inlineStr">
        <is>
          <t>Leboncoin + eBay</t>
        </is>
      </c>
      <c r="S19" s="8" t="inlineStr">
        <is>
          <t>Pièce seule</t>
        </is>
      </c>
      <c r="T19" s="8" t="inlineStr">
        <is>
          <t>Reçues</t>
        </is>
      </c>
      <c r="U19" s="8" t="inlineStr">
        <is>
          <t>Normal</t>
        </is>
      </c>
      <c r="V19" s="27" t="n"/>
    </row>
    <row r="20">
      <c r="A20" s="8" t="inlineStr">
        <is>
          <t>Robe bustier Chiara Ferragni noire</t>
        </is>
      </c>
      <c r="B20" s="23" t="n">
        <v>38</v>
      </c>
      <c r="C20" s="10" t="n">
        <v>69</v>
      </c>
      <c r="D20" s="10">
        <f>IF($C20="","",$C20-$B20-$L20-$M20)</f>
        <v/>
      </c>
      <c r="E20" s="24">
        <f>IF($D20="","",$D20/$B20)</f>
        <v/>
      </c>
      <c r="F20" s="25" t="n">
        <v>1</v>
      </c>
      <c r="G20" s="9">
        <f>$B20/$F20</f>
        <v/>
      </c>
      <c r="H20" s="9">
        <f>IF($C20="","",$C20/$F20)</f>
        <v/>
      </c>
      <c r="I20" s="9">
        <f>IF($D20="","",$D20/$F20)</f>
        <v/>
      </c>
      <c r="J20" s="27" t="n"/>
      <c r="K20" s="24">
        <f>IF(OR($J20="",$C20=""),"",$C20/$J20-1)</f>
        <v/>
      </c>
      <c r="L20" s="9">
        <f>IF($C20="","",$C20*(Paramètres!$B$5+Paramètres!$B$6))</f>
        <v/>
      </c>
      <c r="M20" s="9">
        <f>IF($C20="","",$C20*Paramètres!$B$7)</f>
        <v/>
      </c>
      <c r="N20" s="8" t="inlineStr">
        <is>
          <t>Unique</t>
        </is>
      </c>
      <c r="O20" s="8" t="inlineStr">
        <is>
          <t>M</t>
        </is>
      </c>
      <c r="P20" s="8" t="inlineStr">
        <is>
          <t>Neuve avec étiquette</t>
        </is>
      </c>
      <c r="Q20" s="26" t="inlineStr">
        <is>
          <t>YOOX −85 % · marque en crise</t>
        </is>
      </c>
      <c r="R20" s="8" t="inlineStr">
        <is>
          <t>Boutique + Leboncoin</t>
        </is>
      </c>
      <c r="S20" s="8" t="inlineStr">
        <is>
          <t>Pièce seule</t>
        </is>
      </c>
      <c r="T20" s="8" t="inlineStr">
        <is>
          <t>Reçue</t>
        </is>
      </c>
      <c r="U20" s="8" t="inlineStr">
        <is>
          <t>Normal</t>
        </is>
      </c>
      <c r="V20" s="27" t="n"/>
    </row>
    <row r="21">
      <c r="A21" s="8" t="inlineStr">
        <is>
          <t>Robe Pier Antonio Gaspari bleu marine</t>
        </is>
      </c>
      <c r="B21" s="23" t="n">
        <v>30</v>
      </c>
      <c r="C21" s="10" t="n">
        <v>59</v>
      </c>
      <c r="D21" s="10">
        <f>IF($C21="","",$C21-$B21-$L21-$M21)</f>
        <v/>
      </c>
      <c r="E21" s="24">
        <f>IF($D21="","",$D21/$B21)</f>
        <v/>
      </c>
      <c r="F21" s="25" t="n">
        <v>1</v>
      </c>
      <c r="G21" s="9">
        <f>$B21/$F21</f>
        <v/>
      </c>
      <c r="H21" s="9">
        <f>IF($C21="","",$C21/$F21)</f>
        <v/>
      </c>
      <c r="I21" s="9">
        <f>IF($D21="","",$D21/$F21)</f>
        <v/>
      </c>
      <c r="J21" s="27" t="n"/>
      <c r="K21" s="24">
        <f>IF(OR($J21="",$C21=""),"",$C21/$J21-1)</f>
        <v/>
      </c>
      <c r="L21" s="9">
        <f>IF($C21="","",$C21*(Paramètres!$B$5+Paramètres!$B$6))</f>
        <v/>
      </c>
      <c r="M21" s="9">
        <f>IF($C21="","",$C21*Paramètres!$B$7)</f>
        <v/>
      </c>
      <c r="N21" s="8" t="inlineStr">
        <is>
          <t>Unique</t>
        </is>
      </c>
      <c r="O21" s="8" t="inlineStr">
        <is>
          <t>42</t>
        </is>
      </c>
      <c r="P21" s="8" t="inlineStr">
        <is>
          <t>Neuve</t>
        </is>
      </c>
      <c r="Q21" s="26" t="inlineStr">
        <is>
          <t>YOOX −69 % · Joli Closet −70 %</t>
        </is>
      </c>
      <c r="R21" s="8" t="inlineStr">
        <is>
          <t>Boutique + Leboncoin</t>
        </is>
      </c>
      <c r="S21" s="8" t="inlineStr">
        <is>
          <t>Pièce seule</t>
        </is>
      </c>
      <c r="T21" s="8" t="inlineStr">
        <is>
          <t>Reçue</t>
        </is>
      </c>
      <c r="U21" s="8" t="inlineStr">
        <is>
          <t>Normal</t>
        </is>
      </c>
      <c r="V21" s="27" t="n"/>
    </row>
    <row r="22">
      <c r="A22" s="8" t="inlineStr">
        <is>
          <t>Baskets Geox gris / argent</t>
        </is>
      </c>
      <c r="B22" s="23" t="n">
        <v>25</v>
      </c>
      <c r="C22" s="10" t="n">
        <v>49</v>
      </c>
      <c r="D22" s="10">
        <f>IF($C22="","",$C22-$B22-$L22-$M22)</f>
        <v/>
      </c>
      <c r="E22" s="24">
        <f>IF($D22="","",$D22/$B22)</f>
        <v/>
      </c>
      <c r="F22" s="25" t="n">
        <v>1</v>
      </c>
      <c r="G22" s="9">
        <f>$B22/$F22</f>
        <v/>
      </c>
      <c r="H22" s="9">
        <f>IF($C22="","",$C22/$F22)</f>
        <v/>
      </c>
      <c r="I22" s="9">
        <f>IF($D22="","",$D22/$F22)</f>
        <v/>
      </c>
      <c r="J22" s="23" t="n">
        <v>55</v>
      </c>
      <c r="K22" s="24">
        <f>IF(OR($J22="",$C22=""),"",$C22/$J22-1)</f>
        <v/>
      </c>
      <c r="L22" s="9">
        <f>IF($C22="","",$C22*(Paramètres!$B$5+Paramètres!$B$6))</f>
        <v/>
      </c>
      <c r="M22" s="9">
        <f>IF($C22="","",$C22*Paramètres!$B$7)</f>
        <v/>
      </c>
      <c r="N22" s="8" t="inlineStr">
        <is>
          <t>Unique</t>
        </is>
      </c>
      <c r="O22" s="8" t="inlineStr">
        <is>
          <t>35</t>
        </is>
      </c>
      <c r="P22" s="8" t="inlineStr">
        <is>
          <t>Neuves avec boîte</t>
        </is>
      </c>
      <c r="Q22" s="26" t="inlineStr">
        <is>
          <t>55 €</t>
        </is>
      </c>
      <c r="R22" s="8" t="inlineStr">
        <is>
          <t>Leboncoin + eBay</t>
        </is>
      </c>
      <c r="S22" s="8" t="inlineStr">
        <is>
          <t>Pièce seule</t>
        </is>
      </c>
      <c r="T22" s="8" t="inlineStr">
        <is>
          <t>Reçues</t>
        </is>
      </c>
      <c r="U22" s="8" t="inlineStr">
        <is>
          <t>Normal</t>
        </is>
      </c>
      <c r="V22" s="27" t="n"/>
    </row>
    <row r="23">
      <c r="A23" s="4" t="inlineStr">
        <is>
          <t>Havaianas Slim fuchsia 35/36 ×10</t>
        </is>
      </c>
      <c r="B23" s="18" t="n">
        <v>105</v>
      </c>
      <c r="C23" s="6" t="n">
        <v>139</v>
      </c>
      <c r="D23" s="6">
        <f>IF($C23="","",$C23-$B23-$L23-$M23)</f>
        <v/>
      </c>
      <c r="E23" s="19">
        <f>IF($D23="","",$D23/$B23)</f>
        <v/>
      </c>
      <c r="F23" s="20" t="n">
        <v>10</v>
      </c>
      <c r="G23" s="5">
        <f>$B23/$F23</f>
        <v/>
      </c>
      <c r="H23" s="5">
        <f>IF($C23="","",$C23/$F23)</f>
        <v/>
      </c>
      <c r="I23" s="5">
        <f>IF($D23="","",$D23/$F23)</f>
        <v/>
      </c>
      <c r="J23" s="18" t="n">
        <v>200</v>
      </c>
      <c r="K23" s="19">
        <f>IF(OR($J23="",$C23=""),"",$C23/$J23-1)</f>
        <v/>
      </c>
      <c r="L23" s="5">
        <f>IF($C23="","",$C23*(Paramètres!$B$5+Paramètres!$B$6))</f>
        <v/>
      </c>
      <c r="M23" s="5">
        <f>IF($C23="","",$C23*Paramètres!$B$7)</f>
        <v/>
      </c>
      <c r="N23" s="4" t="inlineStr">
        <is>
          <t>Lot</t>
        </is>
      </c>
      <c r="O23" s="4" t="inlineStr">
        <is>
          <t>35/36</t>
        </is>
      </c>
      <c r="P23" s="4" t="inlineStr">
        <is>
          <t>Neuves avec boîte</t>
        </is>
      </c>
      <c r="Q23" s="21" t="inlineStr">
        <is>
          <t>20 € la paire</t>
        </is>
      </c>
      <c r="R23" s="4" t="inlineStr">
        <is>
          <t>Leboncoin</t>
        </is>
      </c>
      <c r="S23" s="4" t="inlineStr">
        <is>
          <t>En lot</t>
        </is>
      </c>
      <c r="T23" s="4" t="inlineStr">
        <is>
          <t>Reçues</t>
        </is>
      </c>
      <c r="U23" s="4" t="inlineStr">
        <is>
          <t>URGENT — saisonnier</t>
        </is>
      </c>
      <c r="V23" s="22" t="n"/>
    </row>
    <row r="24">
      <c r="A24" s="8" t="inlineStr">
        <is>
          <t>Plein Sport montante blanc / violet</t>
        </is>
      </c>
      <c r="B24" s="23" t="n">
        <v>62</v>
      </c>
      <c r="C24" s="10" t="n">
        <v>89</v>
      </c>
      <c r="D24" s="10">
        <f>IF($C24="","",$C24-$B24-$L24-$M24)</f>
        <v/>
      </c>
      <c r="E24" s="24">
        <f>IF($D24="","",$D24/$B24)</f>
        <v/>
      </c>
      <c r="F24" s="25" t="n">
        <v>1</v>
      </c>
      <c r="G24" s="9">
        <f>$B24/$F24</f>
        <v/>
      </c>
      <c r="H24" s="9">
        <f>IF($C24="","",$C24/$F24)</f>
        <v/>
      </c>
      <c r="I24" s="9">
        <f>IF($D24="","",$D24/$F24)</f>
        <v/>
      </c>
      <c r="J24" s="23" t="n">
        <v>100</v>
      </c>
      <c r="K24" s="24">
        <f>IF(OR($J24="",$C24=""),"",$C24/$J24-1)</f>
        <v/>
      </c>
      <c r="L24" s="9">
        <f>IF($C24="","",$C24*(Paramètres!$B$5+Paramètres!$B$6))</f>
        <v/>
      </c>
      <c r="M24" s="9">
        <f>IF($C24="","",$C24*Paramètres!$B$7)</f>
        <v/>
      </c>
      <c r="N24" s="8" t="inlineStr">
        <is>
          <t>Unique</t>
        </is>
      </c>
      <c r="O24" s="8" t="inlineStr">
        <is>
          <t>40</t>
        </is>
      </c>
      <c r="P24" s="8" t="inlineStr">
        <is>
          <t>Neuves avec boîte</t>
        </is>
      </c>
      <c r="Q24" s="26" t="inlineStr">
        <is>
          <t>~100 € Stylight −63 %</t>
        </is>
      </c>
      <c r="R24" s="8" t="inlineStr">
        <is>
          <t>Leboncoin + eBay</t>
        </is>
      </c>
      <c r="S24" s="8" t="inlineStr">
        <is>
          <t>99 € puis 89 €</t>
        </is>
      </c>
      <c r="T24" s="8" t="inlineStr">
        <is>
          <t>Reçues</t>
        </is>
      </c>
      <c r="U24" s="8" t="inlineStr">
        <is>
          <t>Normal</t>
        </is>
      </c>
      <c r="V24" s="27" t="n"/>
    </row>
    <row r="25">
      <c r="A25" s="8" t="inlineStr">
        <is>
          <t>Short ba&amp;sh Fegor lightusedblue</t>
        </is>
      </c>
      <c r="B25" s="23" t="n">
        <v>55.4</v>
      </c>
      <c r="C25" s="10" t="n">
        <v>75</v>
      </c>
      <c r="D25" s="10">
        <f>IF($C25="","",$C25-$B25-$L25-$M25)</f>
        <v/>
      </c>
      <c r="E25" s="24">
        <f>IF($D25="","",$D25/$B25)</f>
        <v/>
      </c>
      <c r="F25" s="25" t="n">
        <v>1</v>
      </c>
      <c r="G25" s="9">
        <f>$B25/$F25</f>
        <v/>
      </c>
      <c r="H25" s="9">
        <f>IF($C25="","",$C25/$F25)</f>
        <v/>
      </c>
      <c r="I25" s="9">
        <f>IF($D25="","",$D25/$F25)</f>
        <v/>
      </c>
      <c r="J25" s="23" t="n">
        <v>75</v>
      </c>
      <c r="K25" s="24">
        <f>IF(OR($J25="",$C25=""),"",$C25/$J25-1)</f>
        <v/>
      </c>
      <c r="L25" s="9">
        <f>IF($C25="","",$C25*(Paramètres!$B$5+Paramètres!$B$6))</f>
        <v/>
      </c>
      <c r="M25" s="9">
        <f>IF($C25="","",$C25*Paramètres!$B$7)</f>
        <v/>
      </c>
      <c r="N25" s="8" t="inlineStr">
        <is>
          <t>Unique</t>
        </is>
      </c>
      <c r="O25" s="8" t="inlineStr">
        <is>
          <t>34</t>
        </is>
      </c>
      <c r="P25" s="8" t="inlineStr">
        <is>
          <t>Neuf avec étiquette</t>
        </is>
      </c>
      <c r="Q25" s="26" t="inlineStr">
        <is>
          <t>~75 € Modz −50 %</t>
        </is>
      </c>
      <c r="R25" s="8" t="inlineStr">
        <is>
          <t>Boutique</t>
        </is>
      </c>
      <c r="S25" s="8" t="inlineStr">
        <is>
          <t>Pièce seule</t>
        </is>
      </c>
      <c r="T25" s="8" t="inlineStr">
        <is>
          <t>Reçu</t>
        </is>
      </c>
      <c r="U25" s="8" t="inlineStr">
        <is>
          <t>URGENT — saisonnier</t>
        </is>
      </c>
      <c r="V25" s="27" t="n"/>
    </row>
    <row r="26">
      <c r="A26" s="8" t="inlineStr">
        <is>
          <t>New Balance GS 1906 Alkaline Green</t>
        </is>
      </c>
      <c r="B26" s="23" t="n">
        <v>80.59999999999999</v>
      </c>
      <c r="C26" s="10" t="n">
        <v>99</v>
      </c>
      <c r="D26" s="10">
        <f>IF($C26="","",$C26-$B26-$L26-$M26)</f>
        <v/>
      </c>
      <c r="E26" s="24">
        <f>IF($D26="","",$D26/$B26)</f>
        <v/>
      </c>
      <c r="F26" s="25" t="n">
        <v>1</v>
      </c>
      <c r="G26" s="9">
        <f>$B26/$F26</f>
        <v/>
      </c>
      <c r="H26" s="9">
        <f>IF($C26="","",$C26/$F26)</f>
        <v/>
      </c>
      <c r="I26" s="9">
        <f>IF($D26="","",$D26/$F26)</f>
        <v/>
      </c>
      <c r="J26" s="23" t="n">
        <v>87</v>
      </c>
      <c r="K26" s="24">
        <f>IF(OR($J26="",$C26=""),"",$C26/$J26-1)</f>
        <v/>
      </c>
      <c r="L26" s="9">
        <f>IF($C26="","",$C26*(Paramètres!$B$5+Paramètres!$B$6))</f>
        <v/>
      </c>
      <c r="M26" s="9">
        <f>IF($C26="","",$C26*Paramètres!$B$7)</f>
        <v/>
      </c>
      <c r="N26" s="8" t="inlineStr">
        <is>
          <t>Unique</t>
        </is>
      </c>
      <c r="O26" s="8" t="inlineStr">
        <is>
          <t>38½</t>
        </is>
      </c>
      <c r="P26" s="8" t="inlineStr">
        <is>
          <t>Neuves avec boîte</t>
        </is>
      </c>
      <c r="Q26" s="26" t="inlineStr">
        <is>
          <t>87 € StockX</t>
        </is>
      </c>
      <c r="R26" s="8" t="inlineStr">
        <is>
          <t>Leboncoin</t>
        </is>
      </c>
      <c r="S26" s="8" t="inlineStr">
        <is>
          <t>Pièce seule</t>
        </is>
      </c>
      <c r="T26" s="8" t="inlineStr">
        <is>
          <t>À recevoir</t>
        </is>
      </c>
      <c r="U26" s="8" t="inlineStr">
        <is>
          <t>Liquider</t>
        </is>
      </c>
      <c r="V26" s="27" t="n"/>
    </row>
    <row r="27">
      <c r="A27" s="8" t="inlineStr">
        <is>
          <t>Baskets Emporio Armani bleu lavande</t>
        </is>
      </c>
      <c r="B27" s="23" t="n">
        <v>55</v>
      </c>
      <c r="C27" s="10" t="n">
        <v>69</v>
      </c>
      <c r="D27" s="10">
        <f>IF($C27="","",$C27-$B27-$L27-$M27)</f>
        <v/>
      </c>
      <c r="E27" s="24">
        <f>IF($D27="","",$D27/$B27)</f>
        <v/>
      </c>
      <c r="F27" s="25" t="n">
        <v>1</v>
      </c>
      <c r="G27" s="9">
        <f>$B27/$F27</f>
        <v/>
      </c>
      <c r="H27" s="9">
        <f>IF($C27="","",$C27/$F27)</f>
        <v/>
      </c>
      <c r="I27" s="9">
        <f>IF($D27="","",$D27/$F27)</f>
        <v/>
      </c>
      <c r="J27" s="23" t="n">
        <v>62</v>
      </c>
      <c r="K27" s="24">
        <f>IF(OR($J27="",$C27=""),"",$C27/$J27-1)</f>
        <v/>
      </c>
      <c r="L27" s="9">
        <f>IF($C27="","",$C27*(Paramètres!$B$5+Paramètres!$B$6))</f>
        <v/>
      </c>
      <c r="M27" s="9">
        <f>IF($C27="","",$C27*Paramètres!$B$7)</f>
        <v/>
      </c>
      <c r="N27" s="8" t="inlineStr">
        <is>
          <t>Unique</t>
        </is>
      </c>
      <c r="O27" s="8" t="inlineStr">
        <is>
          <t>36</t>
        </is>
      </c>
      <c r="P27" s="8" t="inlineStr">
        <is>
          <t>Neuves avec boîte</t>
        </is>
      </c>
      <c r="Q27" s="26" t="inlineStr">
        <is>
          <t>62 € eBay</t>
        </is>
      </c>
      <c r="R27" s="8" t="inlineStr">
        <is>
          <t>Leboncoin</t>
        </is>
      </c>
      <c r="S27" s="8" t="inlineStr">
        <is>
          <t>Pièce seule</t>
        </is>
      </c>
      <c r="T27" s="8" t="inlineStr">
        <is>
          <t>Reçues</t>
        </is>
      </c>
      <c r="U27" s="8" t="inlineStr">
        <is>
          <t>Liquider</t>
        </is>
      </c>
      <c r="V27" s="27" t="n"/>
    </row>
    <row r="28">
      <c r="A28" s="8" t="inlineStr">
        <is>
          <t>New Balance BB80 blanc / marine</t>
        </is>
      </c>
      <c r="B28" s="23" t="n">
        <v>45</v>
      </c>
      <c r="C28" s="10" t="n">
        <v>54</v>
      </c>
      <c r="D28" s="10">
        <f>IF($C28="","",$C28-$B28-$L28-$M28)</f>
        <v/>
      </c>
      <c r="E28" s="24">
        <f>IF($D28="","",$D28/$B28)</f>
        <v/>
      </c>
      <c r="F28" s="25" t="n">
        <v>1</v>
      </c>
      <c r="G28" s="9">
        <f>$B28/$F28</f>
        <v/>
      </c>
      <c r="H28" s="9">
        <f>IF($C28="","",$C28/$F28)</f>
        <v/>
      </c>
      <c r="I28" s="9">
        <f>IF($D28="","",$D28/$F28)</f>
        <v/>
      </c>
      <c r="J28" s="23" t="n">
        <v>54.99</v>
      </c>
      <c r="K28" s="24">
        <f>IF(OR($J28="",$C28=""),"",$C28/$J28-1)</f>
        <v/>
      </c>
      <c r="L28" s="9">
        <f>IF($C28="","",$C28*(Paramètres!$B$5+Paramètres!$B$6))</f>
        <v/>
      </c>
      <c r="M28" s="9">
        <f>IF($C28="","",$C28*Paramètres!$B$7)</f>
        <v/>
      </c>
      <c r="N28" s="8" t="inlineStr">
        <is>
          <t>Unique</t>
        </is>
      </c>
      <c r="O28" s="8" t="inlineStr">
        <is>
          <t>38</t>
        </is>
      </c>
      <c r="P28" s="8" t="inlineStr">
        <is>
          <t>Neuves avec boîte</t>
        </is>
      </c>
      <c r="Q28" s="26" t="inlineStr">
        <is>
          <t>54,99 € idealo</t>
        </is>
      </c>
      <c r="R28" s="8" t="inlineStr">
        <is>
          <t>Leboncoin</t>
        </is>
      </c>
      <c r="S28" s="8" t="inlineStr">
        <is>
          <t>Pièce seule</t>
        </is>
      </c>
      <c r="T28" s="8" t="inlineStr">
        <is>
          <t>Reçues</t>
        </is>
      </c>
      <c r="U28" s="8" t="inlineStr">
        <is>
          <t>Liquider</t>
        </is>
      </c>
      <c r="V28" s="27" t="n"/>
    </row>
    <row r="29">
      <c r="A29" s="8" t="inlineStr">
        <is>
          <t>Tommy Jeans baskets basses noir / blanc</t>
        </is>
      </c>
      <c r="B29" s="23" t="n">
        <v>55</v>
      </c>
      <c r="C29" s="10" t="n">
        <v>65</v>
      </c>
      <c r="D29" s="10">
        <f>IF($C29="","",$C29-$B29-$L29-$M29)</f>
        <v/>
      </c>
      <c r="E29" s="24">
        <f>IF($D29="","",$D29/$B29)</f>
        <v/>
      </c>
      <c r="F29" s="25" t="n">
        <v>1</v>
      </c>
      <c r="G29" s="9">
        <f>$B29/$F29</f>
        <v/>
      </c>
      <c r="H29" s="9">
        <f>IF($C29="","",$C29/$F29)</f>
        <v/>
      </c>
      <c r="I29" s="9">
        <f>IF($D29="","",$D29/$F29)</f>
        <v/>
      </c>
      <c r="J29" s="23" t="n">
        <v>60</v>
      </c>
      <c r="K29" s="24">
        <f>IF(OR($J29="",$C29=""),"",$C29/$J29-1)</f>
        <v/>
      </c>
      <c r="L29" s="9">
        <f>IF($C29="","",$C29*(Paramètres!$B$5+Paramètres!$B$6))</f>
        <v/>
      </c>
      <c r="M29" s="9">
        <f>IF($C29="","",$C29*Paramètres!$B$7)</f>
        <v/>
      </c>
      <c r="N29" s="8" t="inlineStr">
        <is>
          <t>Unique</t>
        </is>
      </c>
      <c r="O29" s="8" t="inlineStr">
        <is>
          <t>40</t>
        </is>
      </c>
      <c r="P29" s="8" t="inlineStr">
        <is>
          <t>Neuves avec boîte</t>
        </is>
      </c>
      <c r="Q29" s="26" t="inlineStr">
        <is>
          <t>60 € Stylight · 41 € officiel</t>
        </is>
      </c>
      <c r="R29" s="8" t="inlineStr">
        <is>
          <t>Leboncoin + eBay</t>
        </is>
      </c>
      <c r="S29" s="8" t="inlineStr">
        <is>
          <t>Pièce seule</t>
        </is>
      </c>
      <c r="T29" s="8" t="inlineStr">
        <is>
          <t>Reçues</t>
        </is>
      </c>
      <c r="U29" s="8" t="inlineStr">
        <is>
          <t>Liquider</t>
        </is>
      </c>
      <c r="V29" s="27" t="n"/>
    </row>
    <row r="30">
      <c r="A30" s="8" t="inlineStr">
        <is>
          <t>New Balance 650 blanche montante</t>
        </is>
      </c>
      <c r="B30" s="23" t="n">
        <v>55</v>
      </c>
      <c r="C30" s="10" t="n">
        <v>65</v>
      </c>
      <c r="D30" s="10">
        <f>IF($C30="","",$C30-$B30-$L30-$M30)</f>
        <v/>
      </c>
      <c r="E30" s="24">
        <f>IF($D30="","",$D30/$B30)</f>
        <v/>
      </c>
      <c r="F30" s="25" t="n">
        <v>1</v>
      </c>
      <c r="G30" s="9">
        <f>$B30/$F30</f>
        <v/>
      </c>
      <c r="H30" s="9">
        <f>IF($C30="","",$C30/$F30)</f>
        <v/>
      </c>
      <c r="I30" s="9">
        <f>IF($D30="","",$D30/$F30)</f>
        <v/>
      </c>
      <c r="J30" s="23" t="n">
        <v>61</v>
      </c>
      <c r="K30" s="24">
        <f>IF(OR($J30="",$C30=""),"",$C30/$J30-1)</f>
        <v/>
      </c>
      <c r="L30" s="9">
        <f>IF($C30="","",$C30*(Paramètres!$B$5+Paramètres!$B$6))</f>
        <v/>
      </c>
      <c r="M30" s="9">
        <f>IF($C30="","",$C30*Paramètres!$B$7)</f>
        <v/>
      </c>
      <c r="N30" s="8" t="inlineStr">
        <is>
          <t>Unique</t>
        </is>
      </c>
      <c r="O30" s="8" t="inlineStr">
        <is>
          <t>44</t>
        </is>
      </c>
      <c r="P30" s="8" t="inlineStr">
        <is>
          <t>Neuves avec boîte</t>
        </is>
      </c>
      <c r="Q30" s="26" t="inlineStr">
        <is>
          <t>61 € idealo</t>
        </is>
      </c>
      <c r="R30" s="8" t="inlineStr">
        <is>
          <t>Leboncoin</t>
        </is>
      </c>
      <c r="S30" s="8" t="inlineStr">
        <is>
          <t>Pièce seule</t>
        </is>
      </c>
      <c r="T30" s="8" t="inlineStr">
        <is>
          <t>Reçues</t>
        </is>
      </c>
      <c r="U30" s="8" t="inlineStr">
        <is>
          <t>Liquider</t>
        </is>
      </c>
      <c r="V30" s="27" t="n"/>
    </row>
    <row r="31">
      <c r="A31" s="8" t="inlineStr">
        <is>
          <t>Adidas Yeezy 700 V3 Mono Safflower</t>
        </is>
      </c>
      <c r="B31" s="23" t="n">
        <v>75.23999999999999</v>
      </c>
      <c r="C31" s="27" t="n"/>
      <c r="D31" s="10">
        <f>IF($C31="","",$C31-$B31-$L31-$M31)</f>
        <v/>
      </c>
      <c r="E31" s="24">
        <f>IF($D31="","",$D31/$B31)</f>
        <v/>
      </c>
      <c r="F31" s="25" t="n">
        <v>1</v>
      </c>
      <c r="G31" s="9">
        <f>$B31/$F31</f>
        <v/>
      </c>
      <c r="H31" s="9">
        <f>IF($C31="","",$C31/$F31)</f>
        <v/>
      </c>
      <c r="I31" s="9">
        <f>IF($D31="","",$D31/$F31)</f>
        <v/>
      </c>
      <c r="J31" s="27" t="n"/>
      <c r="K31" s="24">
        <f>IF(OR($J31="",$C31=""),"",$C31/$J31-1)</f>
        <v/>
      </c>
      <c r="L31" s="9">
        <f>IF($C31="","",$C31*(Paramètres!$B$5+Paramètres!$B$6))</f>
        <v/>
      </c>
      <c r="M31" s="9">
        <f>IF($C31="","",$C31*Paramètres!$B$7)</f>
        <v/>
      </c>
      <c r="N31" s="8" t="inlineStr">
        <is>
          <t>Unique</t>
        </is>
      </c>
      <c r="O31" s="8" t="inlineStr">
        <is>
          <t>38</t>
        </is>
      </c>
      <c r="P31" s="8" t="inlineStr">
        <is>
          <t>Occasion, portée</t>
        </is>
      </c>
      <c r="Q31" s="26" t="inlineStr">
        <is>
          <t>À établir après authentification</t>
        </is>
      </c>
      <c r="R31" s="8" t="inlineStr">
        <is>
          <t>Vinted</t>
        </is>
      </c>
      <c r="S31" s="8" t="inlineStr">
        <is>
          <t>Pièce seule</t>
        </is>
      </c>
      <c r="T31" s="8" t="inlineStr">
        <is>
          <t>Authentification requise</t>
        </is>
      </c>
      <c r="U31" s="8" t="inlineStr">
        <is>
          <t>Bloqué</t>
        </is>
      </c>
      <c r="V31" s="27" t="n"/>
    </row>
    <row r="32">
      <c r="A32" s="16" t="inlineStr">
        <is>
          <t>TOTAL — 27 lignes</t>
        </is>
      </c>
      <c r="B32" s="17">
        <f>SUM(B5:B31)</f>
        <v/>
      </c>
      <c r="C32" s="17">
        <f>SUM(C5:C31)</f>
        <v/>
      </c>
      <c r="D32" s="17">
        <f>SUM(D5:D31)</f>
        <v/>
      </c>
      <c r="E32" s="32">
        <f>D32/B32</f>
        <v/>
      </c>
      <c r="F32" s="33">
        <f>SUM(F5:F31)</f>
        <v/>
      </c>
      <c r="G32" s="34" t="n"/>
      <c r="H32" s="34" t="n"/>
      <c r="I32" s="34" t="n"/>
      <c r="J32" s="34" t="n"/>
      <c r="K32" s="34" t="n"/>
      <c r="L32" s="17">
        <f>SUM(L5:L31)</f>
        <v/>
      </c>
      <c r="M32" s="17">
        <f>SUM(M5:M31)</f>
        <v/>
      </c>
      <c r="N32" s="34" t="n"/>
      <c r="O32" s="34" t="n"/>
      <c r="P32" s="34" t="n"/>
      <c r="Q32" s="34" t="n"/>
      <c r="R32" s="34" t="n"/>
      <c r="S32" s="34" t="n"/>
      <c r="T32" s="34" t="n"/>
      <c r="U32" s="34" t="n"/>
      <c r="V32" s="34" t="n"/>
    </row>
    <row r="33">
      <c r="A33" s="2" t="inlineStr">
        <is>
          <t>Le coût total inclut la Yeezy (75,24 €) ; son prix de vente reste à établir.</t>
        </is>
      </c>
    </row>
  </sheetData>
  <autoFilter ref="A4:V31"/>
  <conditionalFormatting sqref="D5:D31">
    <cfRule type="cellIs" priority="1" operator="lessThan" dxfId="0">
      <formula>10</formula>
    </cfRule>
  </conditionalFormatting>
  <conditionalFormatting sqref="K5:K31">
    <cfRule type="cellIs" priority="2" operator="greaterThan" dxfId="0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2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58" customWidth="1" min="3" max="3"/>
  </cols>
  <sheetData>
    <row r="1">
      <c r="A1" s="1" t="inlineStr">
        <is>
          <t>Synthèse</t>
        </is>
      </c>
    </row>
    <row r="2">
      <c r="A2" s="2" t="inlineStr">
        <is>
          <t>Calculé depuis « Stock complet » et « Paramètres ».</t>
        </is>
      </c>
    </row>
    <row r="4">
      <c r="A4" s="35" t="inlineStr">
        <is>
          <t>VOLUME</t>
        </is>
      </c>
    </row>
    <row r="5">
      <c r="A5" s="36" t="inlineStr">
        <is>
          <t>Lignes de stock</t>
        </is>
      </c>
      <c r="B5" s="37">
        <f>COUNTA('Stock complet'!A5:A31)</f>
        <v/>
      </c>
    </row>
    <row r="6">
      <c r="A6" s="38" t="inlineStr">
        <is>
          <t>Articles physiques</t>
        </is>
      </c>
      <c r="B6" s="39">
        <f>'Stock complet'!F32</f>
        <v/>
      </c>
    </row>
    <row r="7">
      <c r="A7" s="36" t="inlineStr">
        <is>
          <t>Annonces à publier</t>
        </is>
      </c>
      <c r="B7" s="37">
        <f>Paramètres!B19</f>
        <v/>
      </c>
    </row>
    <row r="9">
      <c r="A9" s="35" t="inlineStr">
        <is>
          <t>ARGENT</t>
        </is>
      </c>
    </row>
    <row r="10">
      <c r="A10" s="38" t="inlineStr">
        <is>
          <t>Capital engagé</t>
        </is>
      </c>
      <c r="B10" s="10">
        <f>'Stock complet'!B32</f>
        <v/>
      </c>
    </row>
    <row r="11">
      <c r="A11" s="38" t="inlineStr">
        <is>
          <t>Chiffre d'affaires attendu</t>
        </is>
      </c>
      <c r="B11" s="10">
        <f>'Stock complet'!C32</f>
        <v/>
      </c>
    </row>
    <row r="12">
      <c r="A12" s="36" t="inlineStr">
        <is>
          <t>− URSSAF + CFP</t>
        </is>
      </c>
      <c r="B12" s="9">
        <f>-'Stock complet'!L32</f>
        <v/>
      </c>
    </row>
    <row r="13">
      <c r="A13" s="36" t="inlineStr">
        <is>
          <t>− Commission carte</t>
        </is>
      </c>
      <c r="B13" s="9">
        <f>-'Stock complet'!M32</f>
        <v/>
      </c>
    </row>
    <row r="14">
      <c r="A14" s="38">
        <f> Marge brute</f>
        <v/>
      </c>
      <c r="B14" s="17">
        <f>'Stock complet'!D32</f>
        <v/>
      </c>
    </row>
    <row r="16">
      <c r="A16" s="35" t="inlineStr">
        <is>
          <t>OÙ EN EST LE STOCK</t>
        </is>
      </c>
    </row>
    <row r="17">
      <c r="A17" s="38" t="inlineStr">
        <is>
          <t>Chiffre d'affaires déjà réalisé</t>
        </is>
      </c>
      <c r="B17" s="14">
        <f>SUMIF('Stock complet'!V5:V31,"&lt;&gt;",'Stock complet'!C5:C31)</f>
        <v/>
      </c>
    </row>
    <row r="18">
      <c r="A18" s="36" t="inlineStr">
        <is>
          <t>Marge déjà réalisée</t>
        </is>
      </c>
      <c r="B18" s="13">
        <f>SUMIF('Stock complet'!V5:V31,"&lt;&gt;",'Stock complet'!D5:D31)</f>
        <v/>
      </c>
    </row>
    <row r="19">
      <c r="A19" s="38" t="inlineStr">
        <is>
          <t>Chiffre d'affaires restant à faire</t>
        </is>
      </c>
      <c r="B19" s="10">
        <f>B11-B17</f>
        <v/>
      </c>
    </row>
    <row r="20">
      <c r="A20" s="36" t="inlineStr">
        <is>
          <t>Marge restant à faire</t>
        </is>
      </c>
      <c r="B20" s="9">
        <f>B14-B18</f>
        <v/>
      </c>
    </row>
    <row r="21">
      <c r="A21" s="36" t="inlineStr">
        <is>
          <t>Capital encore immobilisé</t>
        </is>
      </c>
      <c r="B21" s="9">
        <f>B10-SUMIF('Stock complet'!V5:V31,"&lt;&gt;",'Stock complet'!B5:B31)</f>
        <v/>
      </c>
    </row>
    <row r="23">
      <c r="A23" s="35" t="inlineStr">
        <is>
          <t>FRAIS DE VENTE</t>
        </is>
      </c>
    </row>
    <row r="24">
      <c r="A24" s="36" t="inlineStr">
        <is>
          <t>− Emballage</t>
        </is>
      </c>
      <c r="B24" s="9">
        <f>-Paramètres!B18*Paramètres!B19</f>
        <v/>
      </c>
    </row>
    <row r="25">
      <c r="A25" s="36" t="inlineStr">
        <is>
          <t>− Frais fixe par transaction</t>
        </is>
      </c>
      <c r="B25" s="9">
        <f>-Paramètres!B8*Paramètres!B19</f>
        <v/>
      </c>
    </row>
    <row r="26">
      <c r="A26" s="38">
        <f> Marge avant impôt</f>
        <v/>
      </c>
      <c r="B26" s="17">
        <f>B14+B24+B25</f>
        <v/>
      </c>
    </row>
    <row r="28">
      <c r="A28" s="35" t="inlineStr">
        <is>
          <t>IMPÔT SUR LE REVENU</t>
        </is>
      </c>
    </row>
    <row r="29">
      <c r="A29" s="2" t="inlineStr">
        <is>
          <t>Versement libératoire non retenu : abattement de 71 %, le reste au barème du foyer.</t>
        </is>
      </c>
    </row>
    <row r="30">
      <c r="A30" s="36" t="inlineStr">
        <is>
          <t>Base imposable</t>
        </is>
      </c>
      <c r="B30" s="9">
        <f>B11*(1-Paramètres!B14)</f>
        <v/>
      </c>
    </row>
    <row r="31">
      <c r="A31" s="36" t="inlineStr">
        <is>
          <t>− Impôt estimé</t>
        </is>
      </c>
      <c r="B31" s="9">
        <f>-B30*Paramètres!B15</f>
        <v/>
      </c>
      <c r="C31" s="2" t="inlineStr">
        <is>
          <t>Dépend du foyer, pas de l'activité</t>
        </is>
      </c>
    </row>
    <row r="32">
      <c r="A32" s="38">
        <f> CE QUI RESTE</f>
        <v/>
      </c>
      <c r="B32" s="40">
        <f>B26+B31</f>
        <v/>
      </c>
    </row>
    <row r="34">
      <c r="A34" s="35" t="inlineStr">
        <is>
          <t>RENDEMENT</t>
        </is>
      </c>
    </row>
    <row r="35">
      <c r="A35" s="36" t="inlineStr">
        <is>
          <t>Marge nette / capital engagé</t>
        </is>
      </c>
      <c r="B35" s="41">
        <f>B32/B10</f>
        <v/>
      </c>
    </row>
    <row r="36">
      <c r="A36" s="36" t="inlineStr">
        <is>
          <t>Marge nette par annonce</t>
        </is>
      </c>
      <c r="B36" s="9">
        <f>B32/Paramètres!B19</f>
        <v/>
      </c>
    </row>
    <row r="37">
      <c r="A37" s="36" t="inlineStr">
        <is>
          <t>Poids de l'URSSAF dans la marge nette</t>
        </is>
      </c>
      <c r="B37" s="41">
        <f>-B12/B32</f>
        <v/>
      </c>
    </row>
    <row r="39">
      <c r="A39" s="35" t="inlineStr">
        <is>
          <t>CHARGES FIXES — hors calcul ci-dessus</t>
        </is>
      </c>
    </row>
    <row r="40">
      <c r="A40" s="36" t="inlineStr">
        <is>
          <t>Abonnement Shopify par mois</t>
        </is>
      </c>
      <c r="B40" s="42" t="n">
        <v>36</v>
      </c>
      <c r="C40" s="2" t="inlineStr">
        <is>
          <t>À partir du 11/11/2026 — 1 €/mois jusque-là</t>
        </is>
      </c>
    </row>
    <row r="41">
      <c r="A41" s="36" t="inlineStr">
        <is>
          <t>Shopify sur douze mois</t>
        </is>
      </c>
      <c r="B41" s="43">
        <f>B40*12</f>
        <v/>
      </c>
    </row>
    <row r="42">
      <c r="A42" s="36" t="inlineStr">
        <is>
          <t>CFE</t>
        </is>
      </c>
      <c r="B42" s="42" t="n">
        <v>400</v>
      </c>
      <c r="C42" s="2" t="inlineStr">
        <is>
          <t>Exonérée la 1ʳᵉ année, puis 200 à 600 €/an — arrive en 2027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46" customWidth="1" min="1" max="1"/>
    <col width="13" customWidth="1" min="2" max="2"/>
    <col width="48" customWidth="1" min="3" max="3"/>
  </cols>
  <sheetData>
    <row r="1">
      <c r="A1" s="1" t="inlineStr">
        <is>
          <t>Paramètres</t>
        </is>
      </c>
    </row>
    <row r="2">
      <c r="A2" s="2" t="inlineStr">
        <is>
          <t>Cellules jaunes : les seules à modifier.</t>
        </is>
      </c>
    </row>
    <row r="4">
      <c r="A4" s="35" t="inlineStr">
        <is>
          <t>CHARGES SUR LE CHIFFRE D'AFFAIRES</t>
        </is>
      </c>
    </row>
    <row r="5">
      <c r="A5" s="36" t="inlineStr">
        <is>
          <t>Cotisations sociales URSSAF (achat-revente BIC)</t>
        </is>
      </c>
      <c r="B5" s="44" t="n">
        <v>0.123</v>
      </c>
      <c r="C5" s="2" t="inlineStr">
        <is>
          <t>À confirmer sur l'espace URSSAF</t>
        </is>
      </c>
    </row>
    <row r="6">
      <c r="A6" s="36" t="inlineStr">
        <is>
          <t>CFP — contribution formation professionnelle</t>
        </is>
      </c>
      <c r="B6" s="44" t="n">
        <v>0.001</v>
      </c>
    </row>
    <row r="7">
      <c r="A7" s="36" t="inlineStr">
        <is>
          <t>Commission carte Shopify Payments</t>
        </is>
      </c>
      <c r="B7" s="44" t="n">
        <v>0.015</v>
      </c>
      <c r="C7" s="2" t="inlineStr">
        <is>
          <t>Ne s'applique pas hors boutique</t>
        </is>
      </c>
    </row>
    <row r="8">
      <c r="A8" s="36" t="inlineStr">
        <is>
          <t>Frais fixe par transaction carte</t>
        </is>
      </c>
      <c r="B8" s="42" t="n">
        <v>0.25</v>
      </c>
    </row>
    <row r="10">
      <c r="A10" s="35" t="inlineStr">
        <is>
          <t>ACHAT AUX ENCHÈRES</t>
        </is>
      </c>
    </row>
    <row r="11">
      <c r="A11" s="36" t="inlineStr">
        <is>
          <t>Frais acheteur ADN Enchères</t>
        </is>
      </c>
      <c r="B11" s="44" t="n">
        <v>0.26</v>
      </c>
      <c r="C11" s="2" t="inlineStr">
        <is>
          <t>Exception : 14,28 % sur le BMW ProRain</t>
        </is>
      </c>
    </row>
    <row r="13">
      <c r="A13" s="35" t="inlineStr">
        <is>
          <t>IMPÔT SUR LE REVENU — MICRO-BIC</t>
        </is>
      </c>
    </row>
    <row r="14">
      <c r="A14" s="36" t="inlineStr">
        <is>
          <t>Abattement forfaitaire</t>
        </is>
      </c>
      <c r="B14" s="44" t="n">
        <v>0.71</v>
      </c>
      <c r="C14" s="2" t="inlineStr">
        <is>
          <t>Versement libératoire NON retenu</t>
        </is>
      </c>
    </row>
    <row r="15">
      <c r="A15" s="36" t="inlineStr">
        <is>
          <t>Tranche marginale d'imposition du foyer</t>
        </is>
      </c>
      <c r="B15" s="44" t="n">
        <v>0.11</v>
      </c>
      <c r="C15" s="2" t="inlineStr">
        <is>
          <t>0 %, 11 %, 30 %… à ajuster</t>
        </is>
      </c>
    </row>
    <row r="17">
      <c r="A17" s="35" t="inlineStr">
        <is>
          <t>FRAIS DE VENTE</t>
        </is>
      </c>
    </row>
    <row r="18">
      <c r="A18" s="36" t="inlineStr">
        <is>
          <t>Coût d'emballage par colis</t>
        </is>
      </c>
      <c r="B18" s="42" t="n">
        <v>2</v>
      </c>
    </row>
    <row r="19">
      <c r="A19" s="36" t="inlineStr">
        <is>
          <t>Nombre d'annonces / colis prévus</t>
        </is>
      </c>
      <c r="B19" s="45" t="n">
        <v>36</v>
      </c>
      <c r="C19" s="2" t="inlineStr">
        <is>
          <t>20 uniques + 14 à l'unité + 2 lots</t>
        </is>
      </c>
    </row>
    <row r="21">
      <c r="A21" s="38" t="inlineStr">
        <is>
          <t>Coefficient net (1 − URSSAF − CFP − carte)</t>
        </is>
      </c>
      <c r="B21" s="46">
        <f>1-B5-B6-B7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30" customWidth="1" min="1" max="1"/>
    <col width="100" customWidth="1" min="2" max="2"/>
  </cols>
  <sheetData>
    <row r="1">
      <c r="A1" s="1" t="inlineStr">
        <is>
          <t>Mode d'emploi</t>
        </is>
      </c>
    </row>
    <row r="2">
      <c r="A2" s="35" t="inlineStr">
        <is>
          <t>LES FEUILLES</t>
        </is>
      </c>
    </row>
    <row r="3">
      <c r="A3" s="38" t="inlineStr">
        <is>
          <t>Prix</t>
        </is>
      </c>
      <c r="B3" s="47" t="inlineStr">
        <is>
          <t>Vue courte : pièce, coût, prix de vente, marge. Lisible sur téléphone.</t>
        </is>
      </c>
    </row>
    <row r="4">
      <c r="A4" s="38" t="inlineStr">
        <is>
          <t>Stock complet</t>
        </is>
      </c>
      <c r="B4" s="47" t="inlineStr">
        <is>
          <t>Tout le détail. Les 4 colonnes essentielles sont en tête, le reste suit.</t>
        </is>
      </c>
    </row>
    <row r="5">
      <c r="A5" s="38" t="inlineStr">
        <is>
          <t>Synthèse</t>
        </is>
      </c>
      <c r="B5" s="47" t="inlineStr">
        <is>
          <t>Les totaux, les charges, l'impôt, le rendement.</t>
        </is>
      </c>
    </row>
    <row r="6">
      <c r="A6" s="38" t="inlineStr">
        <is>
          <t>Paramètres</t>
        </is>
      </c>
      <c r="B6" s="47" t="inlineStr">
        <is>
          <t>Les taux. Une seule cellule à changer répercute sur tout.</t>
        </is>
      </c>
    </row>
    <row r="8">
      <c r="A8" s="35" t="inlineStr">
        <is>
          <t>COULEURS</t>
        </is>
      </c>
    </row>
    <row r="9">
      <c r="A9" s="38" t="inlineStr">
        <is>
          <t>Bleu</t>
        </is>
      </c>
      <c r="B9" s="47" t="inlineStr">
        <is>
          <t>Valeur saisie à la main.</t>
        </is>
      </c>
    </row>
    <row r="10">
      <c r="A10" s="38" t="inlineStr">
        <is>
          <t>Jaune</t>
        </is>
      </c>
      <c r="B10" s="47" t="inlineStr">
        <is>
          <t>Hypothèse à ajuster.</t>
        </is>
      </c>
    </row>
    <row r="11">
      <c r="A11" s="38" t="inlineStr">
        <is>
          <t>Noir</t>
        </is>
      </c>
      <c r="B11" s="47" t="inlineStr">
        <is>
          <t>Formule, à ne pas écraser.</t>
        </is>
      </c>
    </row>
    <row r="12">
      <c r="A12" s="38" t="inlineStr">
        <is>
          <t>Fond bleuté</t>
        </is>
      </c>
      <c r="B12" s="47" t="inlineStr">
        <is>
          <t>Ligne de lot multiple.</t>
        </is>
      </c>
    </row>
    <row r="13">
      <c r="A13" s="38" t="inlineStr">
        <is>
          <t>Fond rouge</t>
        </is>
      </c>
      <c r="B13" s="47" t="inlineStr">
        <is>
          <t>Marge sous 10 €, ou prix AU-DESSUS du marché.</t>
        </is>
      </c>
    </row>
    <row r="15">
      <c r="A15" s="35" t="inlineStr">
        <is>
          <t>LES COLONNES QUI COMPTENT</t>
        </is>
      </c>
    </row>
    <row r="16">
      <c r="A16" s="38" t="inlineStr">
        <is>
          <t>Prix marché</t>
        </is>
      </c>
      <c r="B16" s="47" t="inlineStr">
        <is>
          <t>Le moins cher trouvé sur Internet. C'est le mur.</t>
        </is>
      </c>
    </row>
    <row r="17">
      <c r="A17" s="38" t="inlineStr">
        <is>
          <t>Écart au marché</t>
        </is>
      </c>
      <c r="B17" s="47" t="inlineStr">
        <is>
          <t>Négatif = sous le marché, c'est ce qu'on veut. Positif = on perd la comparaison.</t>
        </is>
      </c>
    </row>
    <row r="18">
      <c r="A18" s="38" t="inlineStr">
        <is>
          <t>Marge / article</t>
        </is>
      </c>
      <c r="B18" s="47" t="inlineStr">
        <is>
          <t>Sur un lot, le vrai indicateur : 15 € répartis sur dix ventes ne valent pas le travail.</t>
        </is>
      </c>
    </row>
    <row r="20">
      <c r="A20" s="35" t="inlineStr">
        <is>
          <t>RÈGLES DE PRIX</t>
        </is>
      </c>
    </row>
    <row r="21">
      <c r="A21" s="38" t="inlineStr">
        <is>
          <t>Sous le moins cher du net</t>
        </is>
      </c>
      <c r="B21" s="47" t="inlineStr">
        <is>
          <t>20 à 30 % en dessous. La colonne Écart doit être négative.</t>
        </is>
      </c>
    </row>
    <row r="22">
      <c r="A22" s="38" t="inlineStr">
        <is>
          <t>Aucun prix sans sa source</t>
        </is>
      </c>
      <c r="B22" s="47" t="inlineStr">
        <is>
          <t>Un prix sans référence vérifiée est une hypothèse, pas un prix.</t>
        </is>
      </c>
    </row>
    <row r="23">
      <c r="A23" s="38" t="inlineStr">
        <is>
          <t>Port payé par l'acheteur</t>
        </is>
      </c>
      <c r="B23" s="47" t="inlineStr">
        <is>
          <t>Sans exception. Si la comparaison devient défavorable, on baisse le prix affiché.</t>
        </is>
      </c>
    </row>
    <row r="24">
      <c r="A24" s="38" t="inlineStr">
        <is>
          <t>Frais acheteur ADN</t>
        </is>
      </c>
      <c r="B24" s="47" t="inlineStr">
        <is>
          <t>26 % sur l'adjudication, plus le transport, pour obtenir le coût réel.</t>
        </is>
      </c>
    </row>
    <row r="25">
      <c r="A25" s="38" t="inlineStr">
        <is>
          <t>Palette</t>
        </is>
      </c>
      <c r="B25" s="47" t="inlineStr">
        <is>
          <t>Toujours demander une expédition en colis : 90 € → 44 € sur le lot de sandales.</t>
        </is>
      </c>
    </row>
    <row r="27">
      <c r="A27" s="35" t="inlineStr">
        <is>
          <t>CE QUE LE CALCUL NE COUVRE PAS</t>
        </is>
      </c>
    </row>
    <row r="28">
      <c r="A28" s="38" t="inlineStr">
        <is>
          <t>Retours</t>
        </is>
      </c>
      <c r="B28" s="47" t="inlineStr">
        <is>
          <t>14 jours de rétractation en vente à un particulier.</t>
        </is>
      </c>
    </row>
    <row r="29">
      <c r="A29" s="38" t="inlineStr">
        <is>
          <t>Garantie légale</t>
        </is>
      </c>
      <c r="B29" s="47" t="inlineStr">
        <is>
          <t>2 ans sur le neuf.</t>
        </is>
      </c>
    </row>
    <row r="30">
      <c r="A30" s="38" t="inlineStr">
        <is>
          <t>Authentification</t>
        </is>
      </c>
      <c r="B30" s="47" t="inlineStr">
        <is>
          <t>15 à 30 € par pièce sur les maisons très contrefaites.</t>
        </is>
      </c>
    </row>
    <row r="31">
      <c r="A31" s="38" t="inlineStr">
        <is>
          <t>Temps</t>
        </is>
      </c>
      <c r="B31" s="47" t="inlineStr">
        <is>
          <t>Photos, rédaction, emballage, dépôt.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2026-08-12T23:39:54Z</dcterms:created>
  <dcterms:modified xsi:type="dcterms:W3CDTF">2026-08-12T23:39:54Z</dcterms:modified>
</cp:coreProperties>
</file>