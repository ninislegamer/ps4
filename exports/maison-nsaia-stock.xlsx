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ADIDAS x STELLA McCARTNEY ASMC Ultraboost 21 P.36 — modèle d'exposition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79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434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</row>
    <row r="16">
      <c r="A16" s="13" t="inlineStr">
        <is>
          <t>Lot de 12 paires de tongs HAVAIANAS fuchsia 35/36 — neuf</t>
        </is>
      </c>
      <c r="B16" s="14" t="n">
        <v>100.8</v>
      </c>
      <c r="C16" s="15">
        <f>$B16+$Y16*Paramètres!$B$13</f>
        <v/>
      </c>
      <c r="D16" s="16">
        <f>$C16/(1-Paramètres!$B$5-Paramètres!$B$6)</f>
        <v/>
      </c>
      <c r="E16" s="15">
        <f>CEILING($D16*Paramètres!$B$24,1)</f>
        <v/>
      </c>
      <c r="F16" s="17" t="n">
        <v>168</v>
      </c>
      <c r="G16" s="17">
        <f>IF($F16="","",$F16-$C16-$M16-$N16)</f>
        <v/>
      </c>
      <c r="H16" s="18">
        <f>IF($G16="","",$G16/$C16)</f>
        <v/>
      </c>
      <c r="I16" s="19" t="n">
        <v>12</v>
      </c>
      <c r="J16" s="15">
        <f>$C16/$I16</f>
        <v/>
      </c>
      <c r="K16" s="15">
        <f>IF($F16="","",$F16/$I16)</f>
        <v/>
      </c>
      <c r="L16" s="15">
        <f>IF($G16="","",$G16/$I16)</f>
        <v/>
      </c>
      <c r="M16" s="16">
        <f>IF($F16="","",$F16*(Paramètres!$B$5+Paramètres!$B$6))</f>
        <v/>
      </c>
      <c r="N16" s="15" t="n">
        <v>0</v>
      </c>
      <c r="O16" s="20" t="n">
        <v>80</v>
      </c>
      <c r="P16" s="20" t="n">
        <v>20.8</v>
      </c>
      <c r="Q16" s="21" t="inlineStr">
        <is>
          <t>ADN Lyon</t>
        </is>
      </c>
      <c r="R16" s="21" t="inlineStr">
        <is>
          <t>28/07/2026</t>
        </is>
      </c>
      <c r="S16" s="21" t="inlineStr">
        <is>
          <t>FB2026-5844</t>
        </is>
      </c>
      <c r="T16" s="21" t="inlineStr">
        <is>
          <t>120</t>
        </is>
      </c>
      <c r="U16" s="13" t="inlineStr">
        <is>
          <t>Leboncoin, à l'unité</t>
        </is>
      </c>
      <c r="V16" s="13" t="inlineStr"/>
      <c r="W16" s="13" t="inlineStr">
        <is>
          <t>URGENT — 2 sur 12 vendues</t>
        </is>
      </c>
      <c r="X16" s="13" t="inlineStr">
        <is>
          <t>2 vendues</t>
        </is>
      </c>
      <c r="Y16" s="13" t="n">
        <v>12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Lot de 4 gilets de flottaison MRS.ERTHA 3-6 ans — neuf</t>
        </is>
      </c>
      <c r="B22" s="5" t="n">
        <v>37.8</v>
      </c>
      <c r="C22" s="6">
        <f>$B22+$Y22*Paramètres!$B$13</f>
        <v/>
      </c>
      <c r="D22" s="7">
        <f>$C22/(1-Paramètres!$B$5-Paramètres!$B$6)</f>
        <v/>
      </c>
      <c r="E22" s="6">
        <f>CEILING($D22*Paramètres!$B$24,1)</f>
        <v/>
      </c>
      <c r="F22" s="8" t="n">
        <v>76</v>
      </c>
      <c r="G22" s="8">
        <f>IF($F22="","",$F22-$C22-$M22-$N22)</f>
        <v/>
      </c>
      <c r="H22" s="9">
        <f>IF($G22="","",$G22/$C22)</f>
        <v/>
      </c>
      <c r="I22" s="10" t="n">
        <v>4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11" t="n">
        <v>30</v>
      </c>
      <c r="P22" s="11" t="n">
        <v>7.8</v>
      </c>
      <c r="Q22" s="12" t="inlineStr">
        <is>
          <t>ADN Le Mans</t>
        </is>
      </c>
      <c r="R22" s="12" t="inlineStr">
        <is>
          <t>28/07/2026</t>
        </is>
      </c>
      <c r="S22" s="12" t="inlineStr">
        <is>
          <t>FB2026-43717</t>
        </is>
      </c>
      <c r="T22" s="12" t="inlineStr">
        <is>
          <t>303</t>
        </is>
      </c>
      <c r="U22" s="4" t="inlineStr">
        <is>
          <t>Leboncoin + Vinted</t>
        </is>
      </c>
      <c r="V22" s="4" t="inlineStr"/>
      <c r="W22" s="4" t="inlineStr">
        <is>
          <t>URGENT — saisonnier</t>
        </is>
      </c>
      <c r="X22" s="4" t="inlineStr"/>
      <c r="Y22" s="4" t="n">
        <v>4</v>
      </c>
    </row>
    <row r="23">
      <c r="A23" s="22" t="inlineStr">
        <is>
          <t>Lot de 4 toupies BEYBLADE HASBRO</t>
        </is>
      </c>
      <c r="B23" s="23" t="n">
        <v>19.17</v>
      </c>
      <c r="C23" s="24">
        <f>$B23+$Y23*Paramètres!$B$13</f>
        <v/>
      </c>
      <c r="D23" s="25">
        <f>$C23/(1-Paramètres!$B$5-Paramètres!$B$6)</f>
        <v/>
      </c>
      <c r="E23" s="24">
        <f>CEILING($D23*Paramètres!$B$24,1)</f>
        <v/>
      </c>
      <c r="F23" s="26" t="n">
        <v>49</v>
      </c>
      <c r="G23" s="26">
        <f>IF($F23="","",$F23-$C23-$M23-$N23)</f>
        <v/>
      </c>
      <c r="H23" s="27">
        <f>IF($G23="","",$G23/$C23)</f>
        <v/>
      </c>
      <c r="I23" s="28" t="n">
        <v>4</v>
      </c>
      <c r="J23" s="24">
        <f>$C23/$I23</f>
        <v/>
      </c>
      <c r="K23" s="24">
        <f>IF($F23="","",$F23/$I23)</f>
        <v/>
      </c>
      <c r="L23" s="24">
        <f>IF($G23="","",$G23/$I23)</f>
        <v/>
      </c>
      <c r="M23" s="25">
        <f>IF($F23="","",$F23*(Paramètres!$B$5+Paramètres!$B$6))</f>
        <v/>
      </c>
      <c r="N23" s="24" t="n">
        <v>0</v>
      </c>
      <c r="O23" s="29" t="n">
        <v>15</v>
      </c>
      <c r="P23" s="29" t="n">
        <v>3.9</v>
      </c>
      <c r="Q23" s="30" t="inlineStr">
        <is>
          <t>ADN Le Mans</t>
        </is>
      </c>
      <c r="R23" s="30" t="inlineStr">
        <is>
          <t>03/08/2026</t>
        </is>
      </c>
      <c r="S23" s="30" t="inlineStr">
        <is>
          <t>FB2026-44192</t>
        </is>
      </c>
      <c r="T23" s="30" t="inlineStr">
        <is>
          <t>159</t>
        </is>
      </c>
      <c r="U23" s="22" t="inlineStr">
        <is>
          <t>Leboncoin + eBay, en lot</t>
        </is>
      </c>
      <c r="V23" s="22" t="inlineStr"/>
      <c r="W23" s="22" t="inlineStr">
        <is>
          <t>Normal</t>
        </is>
      </c>
      <c r="X23" s="22" t="inlineStr"/>
      <c r="Y23" s="22" t="n">
        <v>1</v>
      </c>
    </row>
    <row r="24">
      <c r="A24" s="4" t="inlineStr">
        <is>
          <t>GEOX baskets P.35 — neuves</t>
        </is>
      </c>
      <c r="B24" s="5" t="n">
        <v>21.73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49</v>
      </c>
      <c r="G24" s="8">
        <f>IF($F24="","",$F24-$C24-$M24-$N24)</f>
        <v/>
      </c>
      <c r="H24" s="9">
        <f>IF($G24="","",$G24/$C24)</f>
        <v/>
      </c>
      <c r="I24" s="10" t="n">
        <v>1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17</v>
      </c>
      <c r="P24" s="11" t="n">
        <v>4.42</v>
      </c>
      <c r="Q24" s="12" t="inlineStr">
        <is>
          <t>ADN Lyon</t>
        </is>
      </c>
      <c r="R24" s="12" t="inlineStr">
        <is>
          <t>03/08/2026</t>
        </is>
      </c>
      <c r="S24" s="12" t="inlineStr">
        <is>
          <t>FB2026-6023</t>
        </is>
      </c>
      <c r="T24" s="12" t="inlineStr">
        <is>
          <t>155</t>
        </is>
      </c>
      <c r="U24" s="4" t="inlineStr">
        <is>
          <t>Leboncoin + eBay</t>
        </is>
      </c>
      <c r="V24" s="4" t="inlineStr"/>
      <c r="W24" s="4" t="inlineStr">
        <is>
          <t>Normal</t>
        </is>
      </c>
      <c r="X24" s="4" t="inlineStr"/>
      <c r="Y24" s="4" t="n">
        <v>1</v>
      </c>
    </row>
    <row r="25">
      <c r="A25" s="4" t="inlineStr">
        <is>
          <t>Short BA&amp;SH Fegor T.34 — neuf</t>
        </is>
      </c>
      <c r="B25" s="5" t="n">
        <v>50.4</v>
      </c>
      <c r="C25" s="6">
        <f>$B25+$Y25*Paramètres!$B$13</f>
        <v/>
      </c>
      <c r="D25" s="7">
        <f>$C25/(1-Paramètres!$B$5-Paramètres!$B$6-Paramètres!$B$7)</f>
        <v/>
      </c>
      <c r="E25" s="6">
        <f>CEILING($D25*Paramètres!$B$24,1)</f>
        <v/>
      </c>
      <c r="F25" s="8" t="n">
        <v>75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>
        <f>IF($F25="","",$F25*Paramètres!$B$7)</f>
        <v/>
      </c>
      <c r="O25" s="11" t="n">
        <v>40</v>
      </c>
      <c r="P25" s="11" t="n">
        <v>10.4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408</t>
        </is>
      </c>
      <c r="U25" s="4" t="inlineStr">
        <is>
          <t>Boutique</t>
        </is>
      </c>
      <c r="V25" s="4" t="inlineStr"/>
      <c r="W25" s="4" t="inlineStr">
        <is>
          <t>URGENT — saisonnier</t>
        </is>
      </c>
      <c r="X25" s="4" t="inlineStr"/>
      <c r="Y25" s="4" t="n">
        <v>1</v>
      </c>
    </row>
    <row r="26">
      <c r="A26" s="4" t="inlineStr">
        <is>
          <t>NEW BALANCE G19064IK Alkaline Green P.38½ — neuves avec boîte</t>
        </is>
      </c>
      <c r="B26" s="5" t="n">
        <v>75.59999999999999</v>
      </c>
      <c r="C26" s="6">
        <f>$B26+$Y26*Paramètres!$B$13</f>
        <v/>
      </c>
      <c r="D26" s="7">
        <f>$C26/(1-Paramètres!$B$5-Paramètres!$B$6)</f>
        <v/>
      </c>
      <c r="E26" s="6">
        <f>CEILING($D26*Paramètres!$B$24,1)</f>
        <v/>
      </c>
      <c r="F26" s="8" t="n">
        <v>99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11" t="n">
        <v>60</v>
      </c>
      <c r="P26" s="11" t="n">
        <v>15.6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199</t>
        </is>
      </c>
      <c r="U26" s="4" t="inlineStr">
        <is>
          <t>Leboncoin</t>
        </is>
      </c>
      <c r="V26" s="4" t="inlineStr"/>
      <c r="W26" s="4" t="inlineStr">
        <is>
          <t>Liquider</t>
        </is>
      </c>
      <c r="X26" s="4" t="inlineStr"/>
      <c r="Y26" s="4" t="n">
        <v>1</v>
      </c>
    </row>
    <row r="27">
      <c r="A27" s="13" t="inlineStr">
        <is>
          <t>SALOMON X Ultra 5 Mid GTX P.44 — neuves</t>
        </is>
      </c>
      <c r="B27" s="14" t="n">
        <v>76.68000000000001</v>
      </c>
      <c r="C27" s="15">
        <f>$B27+$Y27*Paramètres!$B$13</f>
        <v/>
      </c>
      <c r="D27" s="16">
        <f>$C27/(1-Paramètres!$B$5-Paramètres!$B$6)</f>
        <v/>
      </c>
      <c r="E27" s="15">
        <f>CEILING($D27*Paramètres!$B$24,1)</f>
        <v/>
      </c>
      <c r="F27" s="17" t="n">
        <v>100</v>
      </c>
      <c r="G27" s="17">
        <f>IF($F27="","",$F27-$C27-$M27-$N27)</f>
        <v/>
      </c>
      <c r="H27" s="18">
        <f>IF($G27="","",$G27/$C27)</f>
        <v/>
      </c>
      <c r="I27" s="19" t="n">
        <v>1</v>
      </c>
      <c r="J27" s="15">
        <f>$C27/$I27</f>
        <v/>
      </c>
      <c r="K27" s="15">
        <f>IF($F27="","",$F27/$I27)</f>
        <v/>
      </c>
      <c r="L27" s="15">
        <f>IF($G27="","",$G27/$I27)</f>
        <v/>
      </c>
      <c r="M27" s="16">
        <f>IF($F27="","",$F27*(Paramètres!$B$5+Paramètres!$B$6))</f>
        <v/>
      </c>
      <c r="N27" s="15" t="n">
        <v>0</v>
      </c>
      <c r="O27" s="20" t="n">
        <v>60</v>
      </c>
      <c r="P27" s="20" t="n">
        <v>15.6</v>
      </c>
      <c r="Q27" s="21" t="inlineStr">
        <is>
          <t>ADN Le Mans</t>
        </is>
      </c>
      <c r="R27" s="21" t="inlineStr">
        <is>
          <t>03/08/2026</t>
        </is>
      </c>
      <c r="S27" s="21" t="inlineStr">
        <is>
          <t>FB2026-44192</t>
        </is>
      </c>
      <c r="T27" s="21" t="inlineStr">
        <is>
          <t>11</t>
        </is>
      </c>
      <c r="U27" s="13" t="inlineStr">
        <is>
          <t>Vinted, Italie — non encaissé</t>
        </is>
      </c>
      <c r="V27" s="13" t="inlineStr"/>
      <c r="W27" s="13" t="inlineStr">
        <is>
          <t>VENDUE, en attente</t>
        </is>
      </c>
      <c r="X27" s="13" t="inlineStr">
        <is>
          <t>12/08/2026</t>
        </is>
      </c>
      <c r="Y27" s="13" t="n">
        <v>1</v>
      </c>
    </row>
    <row r="28">
      <c r="A28" s="13" t="inlineStr">
        <is>
          <t>T-shirt BALENCIAGA T.2 — neuf</t>
        </is>
      </c>
      <c r="B28" s="14" t="n">
        <v>113.4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135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90</v>
      </c>
      <c r="P28" s="20" t="n">
        <v>23.4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FB2026-44194</t>
        </is>
      </c>
      <c r="T28" s="21" t="inlineStr">
        <is>
          <t>9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</row>
    <row r="29">
      <c r="A29" s="13" t="inlineStr">
        <is>
          <t>Baskets NIKE Air Max Moto 2K P.44.5 — neuves</t>
        </is>
      </c>
      <c r="B29" s="14" t="n">
        <v>50.4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70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40</v>
      </c>
      <c r="P29" s="20" t="n">
        <v>10.4</v>
      </c>
      <c r="Q29" s="21" t="inlineStr">
        <is>
          <t>ADN Le Mans</t>
        </is>
      </c>
      <c r="R29" s="21" t="inlineStr">
        <is>
          <t>28/07/2026</t>
        </is>
      </c>
      <c r="S29" s="21" t="inlineStr">
        <is>
          <t>FB2026-43716</t>
        </is>
      </c>
      <c r="T29" s="21" t="inlineStr">
        <is>
          <t>170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Booster Pokémon High Class Pack MEGA Dream ex M2a — 10 cartes — invendable seul : bundle avec 5 Nihil Zero à 30 €</t>
        </is>
      </c>
      <c r="B31" s="5" t="n">
        <v>12.95</v>
      </c>
      <c r="C31" s="6">
        <f>$B31</f>
        <v/>
      </c>
      <c r="D31" s="7">
        <f>$C31/(1-Paramètres!$B$5-Paramètres!$B$6)</f>
        <v/>
      </c>
      <c r="E31" s="6">
        <f>CEILING($D31*Paramètres!$B$24,1)</f>
        <v/>
      </c>
      <c r="F31" s="8" t="n">
        <v>30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31" t="n"/>
      <c r="P31" s="31" t="n"/>
      <c r="Q31" s="12" t="inlineStr">
        <is>
          <t>Meccha Japan</t>
        </is>
      </c>
      <c r="R31" s="12" t="inlineStr">
        <is>
          <t>03/08/2026</t>
        </is>
      </c>
      <c r="S31" s="12" t="inlineStr">
        <is>
          <t>#FA429713</t>
        </is>
      </c>
      <c r="T31" s="12" t="inlineStr">
        <is>
          <t>4521329431925</t>
        </is>
      </c>
      <c r="U31" s="4" t="inlineStr">
        <is>
          <t>Leboncoin, bundle</t>
        </is>
      </c>
      <c r="V31" s="4" t="inlineStr"/>
      <c r="W31" s="4" t="inlineStr">
        <is>
          <t>Normal</t>
        </is>
      </c>
      <c r="X31" s="4" t="inlineStr"/>
      <c r="Y31" s="4" t="n">
        <v>1</v>
      </c>
    </row>
    <row r="32">
      <c r="A32" s="4" t="inlineStr">
        <is>
          <t>Booster Box Pokémon MEGA Nihil Zero (Munikis Zero) M3 — 30 boosters — 5 lots de 5 à 17 €, le 6e part en bundle</t>
        </is>
      </c>
      <c r="B32" s="5" t="n">
        <v>69.23999999999999</v>
      </c>
      <c r="C32" s="6">
        <f>$B32</f>
        <v/>
      </c>
      <c r="D32" s="7">
        <f>$C32/(1-Paramètres!$B$5-Paramètres!$B$6)</f>
        <v/>
      </c>
      <c r="E32" s="6">
        <f>CEILING($D32*Paramètres!$B$24,1)</f>
        <v/>
      </c>
      <c r="F32" s="8" t="n">
        <v>85</v>
      </c>
      <c r="G32" s="8">
        <f>IF($F32="","",$F32-$C32-$M32-$N32)</f>
        <v/>
      </c>
      <c r="H32" s="9">
        <f>IF($G32="","",$G32/$C32)</f>
        <v/>
      </c>
      <c r="I32" s="10" t="n">
        <v>5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31" t="n"/>
      <c r="P32" s="31" t="n"/>
      <c r="Q32" s="12" t="inlineStr">
        <is>
          <t>Meccha Japan</t>
        </is>
      </c>
      <c r="R32" s="12" t="inlineStr">
        <is>
          <t>03/08/2026</t>
        </is>
      </c>
      <c r="S32" s="12" t="inlineStr">
        <is>
          <t>#FA429713</t>
        </is>
      </c>
      <c r="T32" s="12" t="inlineStr">
        <is>
          <t>4521329432274</t>
        </is>
      </c>
      <c r="U32" s="4" t="inlineStr">
        <is>
          <t>Leboncoin, lots de 5</t>
        </is>
      </c>
      <c r="V32" s="4" t="inlineStr"/>
      <c r="W32" s="4" t="inlineStr">
        <is>
          <t>Normal</t>
        </is>
      </c>
      <c r="X32" s="4" t="inlineStr"/>
      <c r="Y32" s="4" t="n">
        <v>5</v>
      </c>
    </row>
    <row r="33">
      <c r="A33" s="4" t="inlineStr">
        <is>
          <t>EMPORIO ARMANI baskets P.36 — neuves</t>
        </is>
      </c>
      <c r="B33" s="5" t="n">
        <v>51.12</v>
      </c>
      <c r="C33" s="6">
        <f>$B33+$Y33*Paramètres!$B$13</f>
        <v/>
      </c>
      <c r="D33" s="7">
        <f>$C33/(1-Paramètres!$B$5-Paramètres!$B$6)</f>
        <v/>
      </c>
      <c r="E33" s="6">
        <f>CEILING($D33*Paramètres!$B$24,1)</f>
        <v/>
      </c>
      <c r="F33" s="8" t="n">
        <v>69</v>
      </c>
      <c r="G33" s="8">
        <f>IF($F33="","",$F33-$C33-$M33-$N33)</f>
        <v/>
      </c>
      <c r="H33" s="9">
        <f>IF($G33="","",$G33/$C33)</f>
        <v/>
      </c>
      <c r="I33" s="10" t="n">
        <v>1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1" t="n">
        <v>40</v>
      </c>
      <c r="P33" s="11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</row>
    <row r="34">
      <c r="A34" s="13" t="inlineStr">
        <is>
          <t>Baskets HOKA P.37 1/3 — neuves</t>
        </is>
      </c>
      <c r="B34" s="14" t="n">
        <v>63</v>
      </c>
      <c r="C34" s="15">
        <f>$B34+$Y34*Paramètres!$B$13</f>
        <v/>
      </c>
      <c r="D34" s="16">
        <f>$C34/(1-Paramètres!$B$5-Paramètres!$B$6)</f>
        <v/>
      </c>
      <c r="E34" s="15">
        <f>CEILING($D34*Paramètres!$B$24,1)</f>
        <v/>
      </c>
      <c r="F34" s="17" t="n">
        <v>80</v>
      </c>
      <c r="G34" s="17">
        <f>IF($F34="","",$F34-$C34-$M34-$N34)</f>
        <v/>
      </c>
      <c r="H34" s="18">
        <f>IF($G34="","",$G34/$C34)</f>
        <v/>
      </c>
      <c r="I34" s="19" t="n">
        <v>1</v>
      </c>
      <c r="J34" s="15">
        <f>$C34/$I34</f>
        <v/>
      </c>
      <c r="K34" s="15">
        <f>IF($F34="","",$F34/$I34)</f>
        <v/>
      </c>
      <c r="L34" s="15">
        <f>IF($G34="","",$G34/$I34)</f>
        <v/>
      </c>
      <c r="M34" s="16">
        <f>IF($F34="","",$F34*(Paramètres!$B$5+Paramètres!$B$6))</f>
        <v/>
      </c>
      <c r="N34" s="15" t="n">
        <v>0</v>
      </c>
      <c r="O34" s="20" t="n">
        <v>50</v>
      </c>
      <c r="P34" s="20" t="n">
        <v>13</v>
      </c>
      <c r="Q34" s="21" t="inlineStr">
        <is>
          <t>ADN Le Mans</t>
        </is>
      </c>
      <c r="R34" s="21" t="inlineStr">
        <is>
          <t>28/07/2026</t>
        </is>
      </c>
      <c r="S34" s="21" t="inlineStr">
        <is>
          <t>FB2026-43716</t>
        </is>
      </c>
      <c r="T34" s="21" t="inlineStr">
        <is>
          <t>103</t>
        </is>
      </c>
      <c r="U34" s="13" t="inlineStr">
        <is>
          <t>vendu</t>
        </is>
      </c>
      <c r="V34" s="13" t="inlineStr"/>
      <c r="W34" s="13" t="inlineStr">
        <is>
          <t>VENDU</t>
        </is>
      </c>
      <c r="X34" s="13" t="inlineStr">
        <is>
          <t>VENDU</t>
        </is>
      </c>
      <c r="Y34" s="13" t="n">
        <v>1</v>
      </c>
    </row>
    <row r="35">
      <c r="A35" s="4" t="inlineStr">
        <is>
          <t>NEW BALANCE sneakers P.38 — neuves</t>
        </is>
      </c>
      <c r="B35" s="5" t="n">
        <v>38.34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54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30</v>
      </c>
      <c r="P35" s="11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Veste en jean ARMANI EXCHANGE T.S — neuve</t>
        </is>
      </c>
      <c r="B36" s="14" t="n">
        <v>25.2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40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20</v>
      </c>
      <c r="P36" s="20" t="n">
        <v>5.2</v>
      </c>
      <c r="Q36" s="21" t="inlineStr">
        <is>
          <t>ADN Le Mans</t>
        </is>
      </c>
      <c r="R36" s="21" t="inlineStr">
        <is>
          <t>28/07/2026</t>
        </is>
      </c>
      <c r="S36" s="21" t="inlineStr">
        <is>
          <t>FB2026-43717</t>
        </is>
      </c>
      <c r="T36" s="21" t="inlineStr">
        <is>
          <t>168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NEW BALANCE baskets montantes P.44 — neuves</t>
        </is>
      </c>
      <c r="B37" s="5" t="n">
        <v>51.12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40</v>
      </c>
      <c r="P37" s="11" t="n">
        <v>10.4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156</t>
        </is>
      </c>
      <c r="U37" s="4" t="inlineStr">
        <is>
          <t>Leboncoin</t>
        </is>
      </c>
      <c r="V37" s="4" t="inlineStr"/>
      <c r="W37" s="4" t="inlineStr">
        <is>
          <t>Liquider</t>
        </is>
      </c>
      <c r="X37" s="4" t="inlineStr"/>
      <c r="Y37" s="4" t="n">
        <v>1</v>
      </c>
    </row>
    <row r="38">
      <c r="A38" s="4" t="inlineStr">
        <is>
          <t>TOMMY JEANS baskets basses P.40 — neuves</t>
        </is>
      </c>
      <c r="B38" s="5" t="n">
        <v>52.4</v>
      </c>
      <c r="C38" s="6">
        <f>$B38+$Y38*Paramètres!$B$13</f>
        <v/>
      </c>
      <c r="D38" s="7">
        <f>$C38/(1-Paramètres!$B$5-Paramètres!$B$6)</f>
        <v/>
      </c>
      <c r="E38" s="6">
        <f>CEILING($D38*Paramètres!$B$24,1)</f>
        <v/>
      </c>
      <c r="F38" s="8" t="n">
        <v>65</v>
      </c>
      <c r="G38" s="8">
        <f>IF($F38="","",$F38-$C38-$M38-$N38)</f>
        <v/>
      </c>
      <c r="H38" s="9">
        <f>IF($G38="","",$G38/$C38)</f>
        <v/>
      </c>
      <c r="I38" s="10" t="n">
        <v>1</v>
      </c>
      <c r="J38" s="6">
        <f>$C38/$I38</f>
        <v/>
      </c>
      <c r="K38" s="6">
        <f>IF($F38="","",$F38/$I38)</f>
        <v/>
      </c>
      <c r="L38" s="6">
        <f>IF($G38="","",$G38/$I38)</f>
        <v/>
      </c>
      <c r="M38" s="7">
        <f>IF($F38="","",$F38*(Paramètres!$B$5+Paramètres!$B$6))</f>
        <v/>
      </c>
      <c r="N38" s="6" t="n">
        <v>0</v>
      </c>
      <c r="O38" s="11" t="n">
        <v>41</v>
      </c>
      <c r="P38" s="11" t="n">
        <v>10.66</v>
      </c>
      <c r="Q38" s="12" t="inlineStr">
        <is>
          <t>ADN Lyon</t>
        </is>
      </c>
      <c r="R38" s="12" t="inlineStr">
        <is>
          <t>03/08/2026</t>
        </is>
      </c>
      <c r="S38" s="12" t="inlineStr">
        <is>
          <t>FB2026-6023</t>
        </is>
      </c>
      <c r="T38" s="12" t="inlineStr">
        <is>
          <t>158</t>
        </is>
      </c>
      <c r="U38" s="4" t="inlineStr">
        <is>
          <t>Leboncoin + eBay</t>
        </is>
      </c>
      <c r="V38" s="4" t="inlineStr"/>
      <c r="W38" s="4" t="inlineStr">
        <is>
          <t>Liquider</t>
        </is>
      </c>
      <c r="X38" s="4" t="inlineStr"/>
      <c r="Y38" s="4" t="n">
        <v>1</v>
      </c>
    </row>
    <row r="39">
      <c r="A39" s="13" t="inlineStr">
        <is>
          <t>LACOSTE sneakers P.42 — neuves</t>
        </is>
      </c>
      <c r="B39" s="14" t="n">
        <v>57.51</v>
      </c>
      <c r="C39" s="15">
        <f>$B39+$Y39*Paramètres!$B$13</f>
        <v/>
      </c>
      <c r="D39" s="16">
        <f>$C39/(1-Paramètres!$B$5-Paramètres!$B$6)</f>
        <v/>
      </c>
      <c r="E39" s="15">
        <f>CEILING($D39*Paramètres!$B$24,1)</f>
        <v/>
      </c>
      <c r="F39" s="17" t="n">
        <v>70</v>
      </c>
      <c r="G39" s="17">
        <f>IF($F39="","",$F39-$C39-$M39-$N39)</f>
        <v/>
      </c>
      <c r="H39" s="18">
        <f>IF($G39="","",$G39/$C39)</f>
        <v/>
      </c>
      <c r="I39" s="19" t="n">
        <v>1</v>
      </c>
      <c r="J39" s="15">
        <f>$C39/$I39</f>
        <v/>
      </c>
      <c r="K39" s="15">
        <f>IF($F39="","",$F39/$I39)</f>
        <v/>
      </c>
      <c r="L39" s="15">
        <f>IF($G39="","",$G39/$I39)</f>
        <v/>
      </c>
      <c r="M39" s="16">
        <f>IF($F39="","",$F39*(Paramètres!$B$5+Paramètres!$B$6))</f>
        <v/>
      </c>
      <c r="N39" s="15" t="n">
        <v>0</v>
      </c>
      <c r="O39" s="20" t="n">
        <v>45</v>
      </c>
      <c r="P39" s="20" t="n">
        <v>11.7</v>
      </c>
      <c r="Q39" s="21" t="inlineStr">
        <is>
          <t>ADN Lyon</t>
        </is>
      </c>
      <c r="R39" s="21" t="inlineStr">
        <is>
          <t>03/08/2026</t>
        </is>
      </c>
      <c r="S39" s="21" t="inlineStr">
        <is>
          <t>FB2026-6023</t>
        </is>
      </c>
      <c r="T39" s="21" t="inlineStr">
        <is>
          <t>141</t>
        </is>
      </c>
      <c r="U39" s="13" t="inlineStr">
        <is>
          <t>vendu</t>
        </is>
      </c>
      <c r="V39" s="13" t="inlineStr"/>
      <c r="W39" s="13" t="inlineStr">
        <is>
          <t>VENDU</t>
        </is>
      </c>
      <c r="X39" s="13" t="inlineStr">
        <is>
          <t>VENDU</t>
        </is>
      </c>
      <c r="Y39" s="13" t="n">
        <v>1</v>
      </c>
    </row>
    <row r="40">
      <c r="A40" s="4" t="inlineStr">
        <is>
          <t>Pompe immergée ROBBY VP550W noir et bleu — produit d'occasion</t>
        </is>
      </c>
      <c r="B40" s="5" t="n">
        <v>35.9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45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84</t>
        </is>
      </c>
      <c r="U40" s="4" t="inlineStr">
        <is>
          <t>Leboncoin, main propre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22" t="inlineStr">
        <is>
          <t>Lot de 4 toupies BEYBLADE HASBRO</t>
        </is>
      </c>
      <c r="B41" s="23" t="n">
        <v>38.34</v>
      </c>
      <c r="C41" s="24">
        <f>$B41+$Y41*Paramètres!$B$13</f>
        <v/>
      </c>
      <c r="D41" s="25">
        <f>$C41/(1-Paramètres!$B$5-Paramètres!$B$6)</f>
        <v/>
      </c>
      <c r="E41" s="24">
        <f>CEILING($D41*Paramètres!$B$24,1)</f>
        <v/>
      </c>
      <c r="F41" s="26" t="n">
        <v>49</v>
      </c>
      <c r="G41" s="26">
        <f>IF($F41="","",$F41-$C41-$M41-$N41)</f>
        <v/>
      </c>
      <c r="H41" s="27">
        <f>IF($G41="","",$G41/$C41)</f>
        <v/>
      </c>
      <c r="I41" s="28" t="n">
        <v>4</v>
      </c>
      <c r="J41" s="24">
        <f>$C41/$I41</f>
        <v/>
      </c>
      <c r="K41" s="24">
        <f>IF($F41="","",$F41/$I41)</f>
        <v/>
      </c>
      <c r="L41" s="24">
        <f>IF($G41="","",$G41/$I41)</f>
        <v/>
      </c>
      <c r="M41" s="25">
        <f>IF($F41="","",$F41*(Paramètres!$B$5+Paramètres!$B$6))</f>
        <v/>
      </c>
      <c r="N41" s="24" t="n">
        <v>0</v>
      </c>
      <c r="O41" s="29" t="n">
        <v>30</v>
      </c>
      <c r="P41" s="29" t="n">
        <v>7.8</v>
      </c>
      <c r="Q41" s="30" t="inlineStr">
        <is>
          <t>ADN Le Mans</t>
        </is>
      </c>
      <c r="R41" s="30" t="inlineStr">
        <is>
          <t>03/08/2026</t>
        </is>
      </c>
      <c r="S41" s="30" t="inlineStr">
        <is>
          <t>FB2026-44192</t>
        </is>
      </c>
      <c r="T41" s="30" t="inlineStr">
        <is>
          <t>299</t>
        </is>
      </c>
      <c r="U41" s="22" t="inlineStr">
        <is>
          <t>Leboncoin + eBay, en lot</t>
        </is>
      </c>
      <c r="V41" s="22" t="inlineStr"/>
      <c r="W41" s="22" t="inlineStr">
        <is>
          <t>Marge faible</t>
        </is>
      </c>
      <c r="X41" s="22" t="inlineStr"/>
      <c r="Y41" s="22" t="n">
        <v>1</v>
      </c>
    </row>
    <row r="42">
      <c r="A42" s="4" t="inlineStr">
        <is>
          <t>Pompe immergée ROBBY VP550W noir/gris — comme neuf, SOCLE CASSÉ</t>
        </is>
      </c>
      <c r="B42" s="5" t="n">
        <v>28.29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8" t="n">
        <v>35</v>
      </c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31" t="n"/>
      <c r="P42" s="31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122</t>
        </is>
      </c>
      <c r="U42" s="4" t="inlineStr">
        <is>
          <t>Leboncoin, main propre</t>
        </is>
      </c>
      <c r="V42" s="4" t="inlineStr"/>
      <c r="W42" s="4" t="inlineStr">
        <is>
          <t>Marge faible</t>
        </is>
      </c>
      <c r="X42" s="4" t="inlineStr"/>
      <c r="Y42" s="4" t="n">
        <v>1</v>
      </c>
    </row>
    <row r="43">
      <c r="A43" s="4" t="inlineStr">
        <is>
          <t>Boosters Pokémon MEGA Storm Emeralda M6 ×2 — 5 cartes chacun — set sorti le 31/07/2026, publier vite</t>
        </is>
      </c>
      <c r="B43" s="5" t="n">
        <v>12.74</v>
      </c>
      <c r="C43" s="6">
        <f>$B43</f>
        <v/>
      </c>
      <c r="D43" s="7">
        <f>$C43/(1-Paramètres!$B$5-Paramètres!$B$6)</f>
        <v/>
      </c>
      <c r="E43" s="6">
        <f>CEILING($D43*Paramètres!$B$24,1)</f>
        <v/>
      </c>
      <c r="F43" s="8" t="n">
        <v>19</v>
      </c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31" t="n"/>
      <c r="P43" s="31" t="n"/>
      <c r="Q43" s="12" t="inlineStr">
        <is>
          <t>Meccha Japan</t>
        </is>
      </c>
      <c r="R43" s="12" t="inlineStr">
        <is>
          <t>03/08/2026</t>
        </is>
      </c>
      <c r="S43" s="12" t="inlineStr">
        <is>
          <t>#FA429713</t>
        </is>
      </c>
      <c r="T43" s="12" t="inlineStr">
        <is>
          <t>4521329462226</t>
        </is>
      </c>
      <c r="U43" s="4" t="inlineStr">
        <is>
          <t>Leboncoin, lot de 2</t>
        </is>
      </c>
      <c r="V43" s="4" t="inlineStr"/>
      <c r="W43" s="4" t="inlineStr">
        <is>
          <t>Normal</t>
        </is>
      </c>
      <c r="X43" s="4" t="inlineStr"/>
      <c r="Y43" s="4" t="n">
        <v>1</v>
      </c>
    </row>
    <row r="44">
      <c r="A44" s="4" t="inlineStr">
        <is>
          <t>Pompe immergée ROBBY VP550W bleu et noir — occasion, NE MARCHE QU'EN MODE AUTO</t>
        </is>
      </c>
      <c r="B44" s="5" t="n">
        <v>19.41</v>
      </c>
      <c r="C44" s="6">
        <f>$B44</f>
        <v/>
      </c>
      <c r="D44" s="7">
        <f>$C44/(1-Paramètres!$B$5-Paramètres!$B$6)</f>
        <v/>
      </c>
      <c r="E44" s="6">
        <f>CEILING($D44*Paramètres!$B$24,1)</f>
        <v/>
      </c>
      <c r="F44" s="31" t="n"/>
      <c r="G44" s="8">
        <f>IF($F44="","",$F44-$C44-$M44-$N44)</f>
        <v/>
      </c>
      <c r="H44" s="9">
        <f>IF($G44="","",$G44/$C44)</f>
        <v/>
      </c>
      <c r="I44" s="10" t="n">
        <v>1</v>
      </c>
      <c r="J44" s="6">
        <f>$C44/$I44</f>
        <v/>
      </c>
      <c r="K44" s="6">
        <f>IF($F44="","",$F44/$I44)</f>
        <v/>
      </c>
      <c r="L44" s="6">
        <f>IF($G44="","",$G44/$I44)</f>
        <v/>
      </c>
      <c r="M44" s="7">
        <f>IF($F44="","",$F44*(Paramètres!$B$5+Paramètres!$B$6))</f>
        <v/>
      </c>
      <c r="N44" s="6" t="n">
        <v>0</v>
      </c>
      <c r="O44" s="31" t="n"/>
      <c r="P44" s="31" t="n"/>
      <c r="Q44" s="12" t="inlineStr">
        <is>
          <t>ERA Enchères Rhône-Alpes</t>
        </is>
      </c>
      <c r="R44" s="12" t="inlineStr">
        <is>
          <t>26/07/2026</t>
        </is>
      </c>
      <c r="S44" s="12" t="inlineStr">
        <is>
          <t>507148</t>
        </is>
      </c>
      <c r="T44" s="12" t="inlineStr">
        <is>
          <t>131</t>
        </is>
      </c>
      <c r="U44" s="4" t="inlineStr">
        <is>
          <t>Prélevée — usage personnel</t>
        </is>
      </c>
      <c r="V44" s="4" t="inlineStr"/>
      <c r="W44" s="4" t="inlineStr">
        <is>
          <t>PRÉLEVÉE</t>
        </is>
      </c>
      <c r="X44" s="4" t="inlineStr"/>
      <c r="Y44" s="4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31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2" t="inlineStr">
        <is>
          <t>TOTAL — 40 lots</t>
        </is>
      </c>
      <c r="B46" s="33">
        <f>SUM(B6:B45)</f>
        <v/>
      </c>
      <c r="C46" s="33">
        <f>SUM(C6:C45)</f>
        <v/>
      </c>
      <c r="D46" s="34" t="n"/>
      <c r="E46" s="34" t="n"/>
      <c r="F46" s="33">
        <f>SUM(F6:F45)</f>
        <v/>
      </c>
      <c r="G46" s="33">
        <f>SUM(G6:G45)</f>
        <v/>
      </c>
      <c r="H46" s="35">
        <f>G46/C46</f>
        <v/>
      </c>
      <c r="I46" s="36">
        <f>SUM(I6:I45)</f>
        <v/>
      </c>
      <c r="J46" s="34" t="n"/>
      <c r="K46" s="34" t="n"/>
      <c r="L46" s="34" t="n"/>
      <c r="M46" s="33">
        <f>SUM(M6:M45)</f>
        <v/>
      </c>
      <c r="N46" s="33">
        <f>SUM(N6:N45)</f>
        <v/>
      </c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178.53</v>
      </c>
    </row>
    <row r="7">
      <c r="A7" s="39" t="inlineStr">
        <is>
          <t>TOTAL ENGAGÉ</t>
        </is>
      </c>
      <c r="B7" s="33">
        <f>'Stock complet'!C46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complet'!M46</f>
        <v/>
      </c>
    </row>
    <row r="12">
      <c r="A12" s="38" t="inlineStr">
        <is>
          <t>− Commission carte</t>
        </is>
      </c>
      <c r="B12" s="6">
        <f>-'Stock complet'!N46</f>
        <v/>
      </c>
    </row>
    <row r="13">
      <c r="A13" s="39">
        <f> Marge brute</f>
        <v/>
      </c>
      <c r="B13" s="33">
        <f>'Stock complet'!G46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complet'!I46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Ventes du 09/08 et du 10/08/2026 : espèces, main propre. Nom de l'acheteur à noter.</t>
        </is>
      </c>
    </row>
    <row r="28">
      <c r="A28" s="38" t="inlineStr">
        <is>
          <t>Factures annoncées : lot n°84 (3 pompes Robby) et boîte de 30 boosters Pokémon.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2026-08-14T00:54:57Z</dcterms:created>
  <dcterms:modified xsi:type="dcterms:W3CDTF">2026-08-14T00:54:57Z</dcterms:modified>
</cp:coreProperties>
</file>