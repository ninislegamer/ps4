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complet'!$A$5:$V$41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 &quot;€&quot;"/>
    <numFmt numFmtId="166" formatCode="#,##0 &quot;art.&quot;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b val="1"/>
      <sz val="10"/>
    </font>
    <font>
      <name val="Arial"/>
      <color rgb="00C0392B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5" fontId="8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0" fillId="0" borderId="1" pivotButton="0" quotePrefix="0" xfId="0"/>
    <xf numFmtId="0" fontId="4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5" fontId="8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4" fillId="5" borderId="1" pivotButton="0" quotePrefix="0" xfId="0"/>
    <xf numFmtId="165" fontId="5" fillId="5" borderId="1" pivotButton="0" quotePrefix="0" xfId="0"/>
    <xf numFmtId="165" fontId="4" fillId="5" borderId="1" pivotButton="0" quotePrefix="0" xfId="0"/>
    <xf numFmtId="0" fontId="0" fillId="5" borderId="1" pivotButton="0" quotePrefix="0" xfId="0"/>
    <xf numFmtId="165" fontId="7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5" fontId="8" fillId="5" borderId="1" pivotButton="0" quotePrefix="0" xfId="0"/>
    <xf numFmtId="165" fontId="9" fillId="5" borderId="1" pivotButton="0" quotePrefix="0" xfId="0"/>
    <xf numFmtId="0" fontId="9" fillId="5" borderId="1" pivotButton="0" quotePrefix="0" xfId="0"/>
    <xf numFmtId="0" fontId="7" fillId="6" borderId="1" pivotButton="0" quotePrefix="0" xfId="0"/>
    <xf numFmtId="165" fontId="7" fillId="6" borderId="1" pivotButton="0" quotePrefix="0" xfId="0"/>
    <xf numFmtId="9" fontId="7" fillId="6" borderId="1" pivotButton="0" quotePrefix="0" xfId="0"/>
    <xf numFmtId="166" fontId="7" fillId="6" borderId="1" pivotButton="0" quotePrefix="0" xfId="0"/>
    <xf numFmtId="0" fontId="0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165" fontId="7" fillId="2" borderId="1" pivotButton="0" quotePrefix="0" xfId="0"/>
    <xf numFmtId="164" fontId="4" fillId="0" borderId="1" pivotButton="0" quotePrefix="0" xfId="0"/>
    <xf numFmtId="3" fontId="4" fillId="0" borderId="1" pivotButton="0" quotePrefix="0" xfId="0"/>
    <xf numFmtId="16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0" fontId="6" fillId="3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3" customWidth="1" min="5" max="5"/>
    <col width="11" customWidth="1" min="6" max="6"/>
    <col width="6" customWidth="1" min="7" max="7"/>
    <col width="12" customWidth="1" min="8" max="8"/>
    <col width="12" customWidth="1" min="9" max="9"/>
    <col width="13" customWidth="1" min="10" max="10"/>
    <col width="11" customWidth="1" min="11" max="11"/>
    <col width="10" customWidth="1" min="12" max="12"/>
    <col width="11" customWidth="1" min="13" max="13"/>
    <col width="14" customWidth="1" min="14" max="14"/>
    <col width="15" customWidth="1" min="15" max="15"/>
    <col width="13" customWidth="1" min="16" max="16"/>
    <col width="15" customWidth="1" min="17" max="17"/>
    <col width="7" customWidth="1" min="18" max="18"/>
    <col width="26" customWidth="1" min="19" max="19"/>
    <col width="12" customWidth="1" min="20" max="20"/>
    <col width="20" customWidth="1" min="21" max="21"/>
    <col width="12" customWidth="1" min="22" max="22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article.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PRIX DE VENTE</t>
        </is>
      </c>
      <c r="E5" s="3" t="inlineStr">
        <is>
          <t>Marge nette</t>
        </is>
      </c>
      <c r="F5" s="3" t="inlineStr">
        <is>
          <t>Rendement</t>
        </is>
      </c>
      <c r="G5" s="3" t="inlineStr">
        <is>
          <t>Nb</t>
        </is>
      </c>
      <c r="H5" s="3" t="inlineStr">
        <is>
          <t>Coût / art.</t>
        </is>
      </c>
      <c r="I5" s="3" t="inlineStr">
        <is>
          <t>Prix / art.</t>
        </is>
      </c>
      <c r="J5" s="3" t="inlineStr">
        <is>
          <t>Marge / art.</t>
        </is>
      </c>
      <c r="K5" s="3" t="inlineStr">
        <is>
          <t>URSSAF</t>
        </is>
      </c>
      <c r="L5" s="3" t="inlineStr">
        <is>
          <t>Carte</t>
        </is>
      </c>
      <c r="M5" s="3" t="inlineStr">
        <is>
          <t>Adjugé</t>
        </is>
      </c>
      <c r="N5" s="3" t="inlineStr">
        <is>
          <t>Frais acheteur</t>
        </is>
      </c>
      <c r="O5" s="3" t="inlineStr">
        <is>
          <t>Maison</t>
        </is>
      </c>
      <c r="P5" s="3" t="inlineStr">
        <is>
          <t>Date</t>
        </is>
      </c>
      <c r="Q5" s="3" t="inlineStr">
        <is>
          <t>Facture</t>
        </is>
      </c>
      <c r="R5" s="3" t="inlineStr">
        <is>
          <t>Lot</t>
        </is>
      </c>
      <c r="S5" s="3" t="inlineStr">
        <is>
          <t>Canal</t>
        </is>
      </c>
      <c r="T5" s="3" t="inlineStr">
        <is>
          <t>Statut</t>
        </is>
      </c>
      <c r="U5" s="3" t="inlineStr">
        <is>
          <t>Priorité</t>
        </is>
      </c>
      <c r="V5" s="3" t="inlineStr">
        <is>
          <t>Vendu le</t>
        </is>
      </c>
    </row>
    <row r="6">
      <c r="A6" s="4" t="inlineStr">
        <is>
          <t>Lot de 2 paires ADIDAS Predator Edge P.48 2/3 — neuves</t>
        </is>
      </c>
      <c r="B6" s="5" t="n">
        <v>37.8</v>
      </c>
      <c r="C6" s="6">
        <f>$B6+$G6*Paramètres!$B$13</f>
        <v/>
      </c>
      <c r="D6" s="7" t="n">
        <v>178</v>
      </c>
      <c r="E6" s="7">
        <f>IF($D6="","",$D6-$C6-$K6-$L6)</f>
        <v/>
      </c>
      <c r="F6" s="8">
        <f>IF($E6="","",$E6/$C6)</f>
        <v/>
      </c>
      <c r="G6" s="9" t="n">
        <v>2</v>
      </c>
      <c r="H6" s="6">
        <f>$C6/$G6</f>
        <v/>
      </c>
      <c r="I6" s="6">
        <f>IF($D6="","",$D6/$G6)</f>
        <v/>
      </c>
      <c r="J6" s="6">
        <f>IF($E6="","",$E6/$G6)</f>
        <v/>
      </c>
      <c r="K6" s="10">
        <f>IF($D6="","",$D6*(Paramètres!$B$5+Paramètres!$B$6))</f>
        <v/>
      </c>
      <c r="L6" s="6" t="n">
        <v>0</v>
      </c>
      <c r="M6" s="11" t="n">
        <v>30</v>
      </c>
      <c r="N6" s="11" t="n">
        <v>7.8</v>
      </c>
      <c r="O6" s="12" t="inlineStr">
        <is>
          <t>ADN Le Mans</t>
        </is>
      </c>
      <c r="P6" s="12" t="inlineStr">
        <is>
          <t>28/07/2026</t>
        </is>
      </c>
      <c r="Q6" s="12" t="inlineStr">
        <is>
          <t>FB2026-43716</t>
        </is>
      </c>
      <c r="R6" s="12" t="inlineStr">
        <is>
          <t>357</t>
        </is>
      </c>
      <c r="S6" s="4" t="inlineStr">
        <is>
          <t>eBay + Leboncoin</t>
        </is>
      </c>
      <c r="T6" s="4" t="inlineStr"/>
      <c r="U6" s="4" t="inlineStr">
        <is>
          <t>Normal</t>
        </is>
      </c>
      <c r="V6" s="4" t="inlineStr"/>
    </row>
    <row r="7">
      <c r="A7" s="4" t="inlineStr">
        <is>
          <t>Lot de 20 paires de sandales et tongs RELIFE / TOMMY JEANS — neuf</t>
        </is>
      </c>
      <c r="B7" s="5" t="n">
        <v>56.7</v>
      </c>
      <c r="C7" s="6">
        <f>$B7+$G7*Paramètres!$B$13</f>
        <v/>
      </c>
      <c r="D7" s="7" t="n">
        <v>199</v>
      </c>
      <c r="E7" s="7">
        <f>IF($D7="","",$D7-$C7-$K7-$L7)</f>
        <v/>
      </c>
      <c r="F7" s="8">
        <f>IF($E7="","",$E7/$C7)</f>
        <v/>
      </c>
      <c r="G7" s="9" t="n">
        <v>20</v>
      </c>
      <c r="H7" s="6">
        <f>$C7/$G7</f>
        <v/>
      </c>
      <c r="I7" s="6">
        <f>IF($D7="","",$D7/$G7)</f>
        <v/>
      </c>
      <c r="J7" s="6">
        <f>IF($E7="","",$E7/$G7)</f>
        <v/>
      </c>
      <c r="K7" s="10">
        <f>IF($D7="","",$D7*(Paramètres!$B$5+Paramètres!$B$6))</f>
        <v/>
      </c>
      <c r="L7" s="6" t="n">
        <v>0</v>
      </c>
      <c r="M7" s="11" t="n">
        <v>45</v>
      </c>
      <c r="N7" s="11" t="n">
        <v>11.7</v>
      </c>
      <c r="O7" s="12" t="inlineStr">
        <is>
          <t>ADN Lyon</t>
        </is>
      </c>
      <c r="P7" s="12" t="inlineStr">
        <is>
          <t>11/08/2026</t>
        </is>
      </c>
      <c r="Q7" s="12" t="inlineStr">
        <is>
          <t>FB2026-6354</t>
        </is>
      </c>
      <c r="R7" s="12" t="inlineStr">
        <is>
          <t>388</t>
        </is>
      </c>
      <c r="S7" s="4" t="inlineStr">
        <is>
          <t>Leboncoin B2B</t>
        </is>
      </c>
      <c r="T7" s="4" t="inlineStr"/>
      <c r="U7" s="4" t="inlineStr">
        <is>
          <t>Février-mars</t>
        </is>
      </c>
      <c r="V7" s="4" t="inlineStr"/>
    </row>
    <row r="8">
      <c r="A8" s="4" t="inlineStr">
        <is>
          <t>Demi-bottes FORMA Legacy Waterproof T.45 noir — neuves</t>
        </is>
      </c>
      <c r="B8" s="5" t="n">
        <v>63</v>
      </c>
      <c r="C8" s="6">
        <f>$B8+$G8*Paramètres!$B$13</f>
        <v/>
      </c>
      <c r="D8" s="7" t="n">
        <v>159</v>
      </c>
      <c r="E8" s="7">
        <f>IF($D8="","",$D8-$C8-$K8-$L8)</f>
        <v/>
      </c>
      <c r="F8" s="8">
        <f>IF($E8="","",$E8/$C8)</f>
        <v/>
      </c>
      <c r="G8" s="9" t="n">
        <v>1</v>
      </c>
      <c r="H8" s="6">
        <f>$C8/$G8</f>
        <v/>
      </c>
      <c r="I8" s="6">
        <f>IF($D8="","",$D8/$G8)</f>
        <v/>
      </c>
      <c r="J8" s="6">
        <f>IF($E8="","",$E8/$G8)</f>
        <v/>
      </c>
      <c r="K8" s="10">
        <f>IF($D8="","",$D8*(Paramètres!$B$5+Paramètres!$B$6))</f>
        <v/>
      </c>
      <c r="L8" s="6">
        <f>IF($D8="","",$D8*Paramètres!$B$7)</f>
        <v/>
      </c>
      <c r="M8" s="11" t="n">
        <v>50</v>
      </c>
      <c r="N8" s="11" t="n">
        <v>13</v>
      </c>
      <c r="O8" s="12" t="inlineStr">
        <is>
          <t>ADN Le Mans</t>
        </is>
      </c>
      <c r="P8" s="12" t="inlineStr">
        <is>
          <t>10/08/2026</t>
        </is>
      </c>
      <c r="Q8" s="12" t="inlineStr">
        <is>
          <t>FB2026-46058</t>
        </is>
      </c>
      <c r="R8" s="12" t="inlineStr">
        <is>
          <t>162</t>
        </is>
      </c>
      <c r="S8" s="4" t="inlineStr">
        <is>
          <t>Boutique + Leboncoin</t>
        </is>
      </c>
      <c r="T8" s="4" t="inlineStr"/>
      <c r="U8" s="4" t="inlineStr">
        <is>
          <t>Normal</t>
        </is>
      </c>
      <c r="V8" s="4" t="inlineStr"/>
    </row>
    <row r="9">
      <c r="A9" s="4" t="inlineStr">
        <is>
          <t>ELISABETTA FRANCHI robe asymétrique viscose T.46 IT — neuve</t>
        </is>
      </c>
      <c r="B9" s="5" t="n">
        <v>20.45</v>
      </c>
      <c r="C9" s="6">
        <f>$B9+$G9*Paramètres!$B$13</f>
        <v/>
      </c>
      <c r="D9" s="7" t="n">
        <v>99</v>
      </c>
      <c r="E9" s="7">
        <f>IF($D9="","",$D9-$C9-$K9-$L9)</f>
        <v/>
      </c>
      <c r="F9" s="8">
        <f>IF($E9="","",$E9/$C9)</f>
        <v/>
      </c>
      <c r="G9" s="9" t="n">
        <v>1</v>
      </c>
      <c r="H9" s="6">
        <f>$C9/$G9</f>
        <v/>
      </c>
      <c r="I9" s="6">
        <f>IF($D9="","",$D9/$G9)</f>
        <v/>
      </c>
      <c r="J9" s="6">
        <f>IF($E9="","",$E9/$G9)</f>
        <v/>
      </c>
      <c r="K9" s="10">
        <f>IF($D9="","",$D9*(Paramètres!$B$5+Paramètres!$B$6))</f>
        <v/>
      </c>
      <c r="L9" s="6">
        <f>IF($D9="","",$D9*Paramètres!$B$7)</f>
        <v/>
      </c>
      <c r="M9" s="11" t="n">
        <v>16</v>
      </c>
      <c r="N9" s="11" t="n">
        <v>4.16</v>
      </c>
      <c r="O9" s="12" t="inlineStr">
        <is>
          <t>ADN Lyon</t>
        </is>
      </c>
      <c r="P9" s="12" t="inlineStr">
        <is>
          <t>03/08/2026</t>
        </is>
      </c>
      <c r="Q9" s="12" t="inlineStr">
        <is>
          <t>FB2026-5996</t>
        </is>
      </c>
      <c r="R9" s="12" t="inlineStr">
        <is>
          <t>32</t>
        </is>
      </c>
      <c r="S9" s="4" t="inlineStr">
        <is>
          <t>Boutique</t>
        </is>
      </c>
      <c r="T9" s="4" t="inlineStr"/>
      <c r="U9" s="4" t="inlineStr">
        <is>
          <t>Normal</t>
        </is>
      </c>
      <c r="V9" s="4" t="inlineStr"/>
    </row>
    <row r="10">
      <c r="A10" s="4" t="inlineStr">
        <is>
          <t>Combinaison de pluie BMW Overall ProRain unisexe XL — neuve</t>
        </is>
      </c>
      <c r="B10" s="5" t="n">
        <v>68.56999999999999</v>
      </c>
      <c r="C10" s="6">
        <f>$B10+$G10*Paramètres!$B$13</f>
        <v/>
      </c>
      <c r="D10" s="7" t="n">
        <v>139</v>
      </c>
      <c r="E10" s="7">
        <f>IF($D10="","",$D10-$C10-$K10-$L10)</f>
        <v/>
      </c>
      <c r="F10" s="8">
        <f>IF($E10="","",$E10/$C10)</f>
        <v/>
      </c>
      <c r="G10" s="9" t="n">
        <v>1</v>
      </c>
      <c r="H10" s="6">
        <f>$C10/$G10</f>
        <v/>
      </c>
      <c r="I10" s="6">
        <f>IF($D10="","",$D10/$G10)</f>
        <v/>
      </c>
      <c r="J10" s="6">
        <f>IF($E10="","",$E10/$G10)</f>
        <v/>
      </c>
      <c r="K10" s="10">
        <f>IF($D10="","",$D10*(Paramètres!$B$5+Paramètres!$B$6))</f>
        <v/>
      </c>
      <c r="L10" s="6" t="n">
        <v>0</v>
      </c>
      <c r="M10" s="11" t="n">
        <v>60</v>
      </c>
      <c r="N10" s="11" t="n">
        <v>8.57</v>
      </c>
      <c r="O10" s="12" t="inlineStr">
        <is>
          <t>ADN Le Mans</t>
        </is>
      </c>
      <c r="P10" s="12" t="inlineStr">
        <is>
          <t>10/08/2026</t>
        </is>
      </c>
      <c r="Q10" s="12" t="inlineStr">
        <is>
          <t>FB2026-46060</t>
        </is>
      </c>
      <c r="R10" s="12" t="inlineStr">
        <is>
          <t>1350</t>
        </is>
      </c>
      <c r="S10" s="4" t="inlineStr">
        <is>
          <t>Leboncoin + Vinted</t>
        </is>
      </c>
      <c r="T10" s="4" t="inlineStr"/>
      <c r="U10" s="4" t="inlineStr">
        <is>
          <t>Normal</t>
        </is>
      </c>
      <c r="V10" s="4" t="inlineStr"/>
    </row>
    <row r="11">
      <c r="A11" s="4" t="inlineStr">
        <is>
          <t>Pokémon MEGA Munikis Zero M3 — boîte de 30 boosters</t>
        </is>
      </c>
      <c r="B11" s="5" t="n">
        <v>65</v>
      </c>
      <c r="C11" s="6">
        <f>$B11</f>
        <v/>
      </c>
      <c r="D11" s="7" t="n">
        <v>132</v>
      </c>
      <c r="E11" s="7">
        <f>IF($D11="","",$D11-$C11-$K11-$L11)</f>
        <v/>
      </c>
      <c r="F11" s="8">
        <f>IF($E11="","",$E11/$C11)</f>
        <v/>
      </c>
      <c r="G11" s="9" t="n">
        <v>6</v>
      </c>
      <c r="H11" s="6">
        <f>$C11/$G11</f>
        <v/>
      </c>
      <c r="I11" s="6">
        <f>IF($D11="","",$D11/$G11)</f>
        <v/>
      </c>
      <c r="J11" s="6">
        <f>IF($E11="","",$E11/$G11)</f>
        <v/>
      </c>
      <c r="K11" s="10">
        <f>IF($D11="","",$D11*(Paramètres!$B$5+Paramètres!$B$6))</f>
        <v/>
      </c>
      <c r="L11" s="6" t="n">
        <v>0</v>
      </c>
      <c r="M11" s="13" t="n"/>
      <c r="N11" s="13" t="n"/>
      <c r="O11" s="12" t="inlineStr">
        <is>
          <t>Vendeur au Japon</t>
        </is>
      </c>
      <c r="P11" s="12" t="inlineStr">
        <is>
          <t>—</t>
        </is>
      </c>
      <c r="Q11" s="12" t="inlineStr">
        <is>
          <t>—</t>
        </is>
      </c>
      <c r="R11" s="12" t="inlineStr">
        <is>
          <t>—</t>
        </is>
      </c>
      <c r="S11" s="4" t="inlineStr">
        <is>
          <t>eBay + Leboncoin</t>
        </is>
      </c>
      <c r="T11" s="4" t="inlineStr"/>
      <c r="U11" s="4" t="inlineStr">
        <is>
          <t>Normal</t>
        </is>
      </c>
      <c r="V11" s="4" t="inlineStr"/>
    </row>
    <row r="12">
      <c r="A12" s="4" t="inlineStr">
        <is>
          <t>Chaussures HOGAN P.36 — traces d'essayage</t>
        </is>
      </c>
      <c r="B12" s="5" t="n">
        <v>12.6</v>
      </c>
      <c r="C12" s="6">
        <f>$B12+$G12*Paramètres!$B$13</f>
        <v/>
      </c>
      <c r="D12" s="7" t="n">
        <v>79</v>
      </c>
      <c r="E12" s="7">
        <f>IF($D12="","",$D12-$C12-$K12-$L12)</f>
        <v/>
      </c>
      <c r="F12" s="8">
        <f>IF($E12="","",$E12/$C12)</f>
        <v/>
      </c>
      <c r="G12" s="9" t="n">
        <v>1</v>
      </c>
      <c r="H12" s="6">
        <f>$C12/$G12</f>
        <v/>
      </c>
      <c r="I12" s="6">
        <f>IF($D12="","",$D12/$G12)</f>
        <v/>
      </c>
      <c r="J12" s="6">
        <f>IF($E12="","",$E12/$G12)</f>
        <v/>
      </c>
      <c r="K12" s="10">
        <f>IF($D12="","",$D12*(Paramètres!$B$5+Paramètres!$B$6))</f>
        <v/>
      </c>
      <c r="L12" s="6">
        <f>IF($D12="","",$D12*Paramètres!$B$7)</f>
        <v/>
      </c>
      <c r="M12" s="11" t="n">
        <v>10</v>
      </c>
      <c r="N12" s="11" t="n">
        <v>2.6</v>
      </c>
      <c r="O12" s="12" t="inlineStr">
        <is>
          <t>ADN Le Mans</t>
        </is>
      </c>
      <c r="P12" s="12" t="inlineStr">
        <is>
          <t>28/07/2026</t>
        </is>
      </c>
      <c r="Q12" s="12" t="inlineStr">
        <is>
          <t>FB2026-43716</t>
        </is>
      </c>
      <c r="R12" s="12" t="inlineStr">
        <is>
          <t>191</t>
        </is>
      </c>
      <c r="S12" s="4" t="inlineStr">
        <is>
          <t>Boutique</t>
        </is>
      </c>
      <c r="T12" s="4" t="inlineStr"/>
      <c r="U12" s="4" t="inlineStr">
        <is>
          <t>Normal</t>
        </is>
      </c>
      <c r="V12" s="4" t="inlineStr"/>
    </row>
    <row r="13">
      <c r="A13" s="4" t="inlineStr">
        <is>
          <t>Jupe midi SONIA RYKIEL T.34 — neuve</t>
        </is>
      </c>
      <c r="B13" s="5" t="n">
        <v>37.8</v>
      </c>
      <c r="C13" s="6">
        <f>$B13+$G13*Paramètres!$B$13</f>
        <v/>
      </c>
      <c r="D13" s="7" t="n">
        <v>99</v>
      </c>
      <c r="E13" s="7">
        <f>IF($D13="","",$D13-$C13-$K13-$L13)</f>
        <v/>
      </c>
      <c r="F13" s="8">
        <f>IF($E13="","",$E13/$C13)</f>
        <v/>
      </c>
      <c r="G13" s="9" t="n">
        <v>1</v>
      </c>
      <c r="H13" s="6">
        <f>$C13/$G13</f>
        <v/>
      </c>
      <c r="I13" s="6">
        <f>IF($D13="","",$D13/$G13)</f>
        <v/>
      </c>
      <c r="J13" s="6">
        <f>IF($E13="","",$E13/$G13)</f>
        <v/>
      </c>
      <c r="K13" s="10">
        <f>IF($D13="","",$D13*(Paramètres!$B$5+Paramètres!$B$6))</f>
        <v/>
      </c>
      <c r="L13" s="6">
        <f>IF($D13="","",$D13*Paramètres!$B$7)</f>
        <v/>
      </c>
      <c r="M13" s="11" t="n">
        <v>30</v>
      </c>
      <c r="N13" s="11" t="n">
        <v>7.8</v>
      </c>
      <c r="O13" s="12" t="inlineStr">
        <is>
          <t>ADN Le Mans</t>
        </is>
      </c>
      <c r="P13" s="12" t="inlineStr">
        <is>
          <t>28/07/2026</t>
        </is>
      </c>
      <c r="Q13" s="12" t="inlineStr">
        <is>
          <t>FB2026-43716</t>
        </is>
      </c>
      <c r="R13" s="12" t="inlineStr">
        <is>
          <t>417</t>
        </is>
      </c>
      <c r="S13" s="4" t="inlineStr">
        <is>
          <t>Boutique</t>
        </is>
      </c>
      <c r="T13" s="4" t="inlineStr"/>
      <c r="U13" s="4" t="inlineStr">
        <is>
          <t>Normal</t>
        </is>
      </c>
      <c r="V13" s="4" t="inlineStr"/>
    </row>
    <row r="14">
      <c r="A14" s="4" t="inlineStr">
        <is>
          <t>Robe SANDRO T.40 — neuve</t>
        </is>
      </c>
      <c r="B14" s="5" t="n">
        <v>37.8</v>
      </c>
      <c r="C14" s="6">
        <f>$B14+$G14*Paramètres!$B$13</f>
        <v/>
      </c>
      <c r="D14" s="7" t="n">
        <v>89</v>
      </c>
      <c r="E14" s="7">
        <f>IF($D14="","",$D14-$C14-$K14-$L14)</f>
        <v/>
      </c>
      <c r="F14" s="8">
        <f>IF($E14="","",$E14/$C14)</f>
        <v/>
      </c>
      <c r="G14" s="9" t="n">
        <v>1</v>
      </c>
      <c r="H14" s="6">
        <f>$C14/$G14</f>
        <v/>
      </c>
      <c r="I14" s="6">
        <f>IF($D14="","",$D14/$G14)</f>
        <v/>
      </c>
      <c r="J14" s="6">
        <f>IF($E14="","",$E14/$G14)</f>
        <v/>
      </c>
      <c r="K14" s="10">
        <f>IF($D14="","",$D14*(Paramètres!$B$5+Paramètres!$B$6))</f>
        <v/>
      </c>
      <c r="L14" s="6">
        <f>IF($D14="","",$D14*Paramètres!$B$7)</f>
        <v/>
      </c>
      <c r="M14" s="11" t="n">
        <v>30</v>
      </c>
      <c r="N14" s="11" t="n">
        <v>7.8</v>
      </c>
      <c r="O14" s="12" t="inlineStr">
        <is>
          <t>ADN Le Mans</t>
        </is>
      </c>
      <c r="P14" s="12" t="inlineStr">
        <is>
          <t>28/07/2026</t>
        </is>
      </c>
      <c r="Q14" s="12" t="inlineStr">
        <is>
          <t>FB2026-43716</t>
        </is>
      </c>
      <c r="R14" s="12" t="inlineStr">
        <is>
          <t>7</t>
        </is>
      </c>
      <c r="S14" s="4" t="inlineStr">
        <is>
          <t>Boutique</t>
        </is>
      </c>
      <c r="T14" s="4" t="inlineStr"/>
      <c r="U14" s="4" t="inlineStr">
        <is>
          <t>Normal</t>
        </is>
      </c>
      <c r="V14" s="4" t="inlineStr"/>
    </row>
    <row r="15">
      <c r="A15" s="4" t="inlineStr">
        <is>
          <t>Lot de 6 vêtements femme MORGAN T.40 et L — neuf</t>
        </is>
      </c>
      <c r="B15" s="5" t="n">
        <v>37.8</v>
      </c>
      <c r="C15" s="6">
        <f>$B15+$G15*Paramètres!$B$13</f>
        <v/>
      </c>
      <c r="D15" s="7" t="n">
        <v>92</v>
      </c>
      <c r="E15" s="7">
        <f>IF($D15="","",$D15-$C15-$K15-$L15)</f>
        <v/>
      </c>
      <c r="F15" s="8">
        <f>IF($E15="","",$E15/$C15)</f>
        <v/>
      </c>
      <c r="G15" s="9" t="n">
        <v>6</v>
      </c>
      <c r="H15" s="6">
        <f>$C15/$G15</f>
        <v/>
      </c>
      <c r="I15" s="6">
        <f>IF($D15="","",$D15/$G15)</f>
        <v/>
      </c>
      <c r="J15" s="6">
        <f>IF($E15="","",$E15/$G15)</f>
        <v/>
      </c>
      <c r="K15" s="10">
        <f>IF($D15="","",$D15*(Paramètres!$B$5+Paramètres!$B$6))</f>
        <v/>
      </c>
      <c r="L15" s="6" t="n">
        <v>0</v>
      </c>
      <c r="M15" s="11" t="n">
        <v>30</v>
      </c>
      <c r="N15" s="11" t="n">
        <v>7.8</v>
      </c>
      <c r="O15" s="12" t="inlineStr">
        <is>
          <t>ADN Le Mans</t>
        </is>
      </c>
      <c r="P15" s="12" t="inlineStr">
        <is>
          <t>10/08/2026</t>
        </is>
      </c>
      <c r="Q15" s="12" t="inlineStr">
        <is>
          <t>FB2026-46056</t>
        </is>
      </c>
      <c r="R15" s="12" t="inlineStr">
        <is>
          <t>279</t>
        </is>
      </c>
      <c r="S15" s="4" t="inlineStr">
        <is>
          <t>Leboncoin + eBay</t>
        </is>
      </c>
      <c r="T15" s="4" t="inlineStr"/>
      <c r="U15" s="4" t="inlineStr">
        <is>
          <t>Normal</t>
        </is>
      </c>
      <c r="V15" s="4" t="inlineStr"/>
    </row>
    <row r="16">
      <c r="A16" s="4" t="inlineStr">
        <is>
          <t>ADIDAS x STELLA McCARTNEY ASMC Ultraboost 21 P.36 — modèle d'exposition</t>
        </is>
      </c>
      <c r="B16" s="5" t="n">
        <v>37.8</v>
      </c>
      <c r="C16" s="6">
        <f>$B16+$G16*Paramètres!$B$13</f>
        <v/>
      </c>
      <c r="D16" s="7" t="n">
        <v>79</v>
      </c>
      <c r="E16" s="7">
        <f>IF($D16="","",$D16-$C16-$K16-$L16)</f>
        <v/>
      </c>
      <c r="F16" s="8">
        <f>IF($E16="","",$E16/$C16)</f>
        <v/>
      </c>
      <c r="G16" s="9" t="n">
        <v>1</v>
      </c>
      <c r="H16" s="6">
        <f>$C16/$G16</f>
        <v/>
      </c>
      <c r="I16" s="6">
        <f>IF($D16="","",$D16/$G16)</f>
        <v/>
      </c>
      <c r="J16" s="6">
        <f>IF($E16="","",$E16/$G16)</f>
        <v/>
      </c>
      <c r="K16" s="10">
        <f>IF($D16="","",$D16*(Paramètres!$B$5+Paramètres!$B$6))</f>
        <v/>
      </c>
      <c r="L16" s="6">
        <f>IF($D16="","",$D16*Paramètres!$B$7)</f>
        <v/>
      </c>
      <c r="M16" s="11" t="n">
        <v>30</v>
      </c>
      <c r="N16" s="11" t="n">
        <v>7.8</v>
      </c>
      <c r="O16" s="12" t="inlineStr">
        <is>
          <t>ADN Le Mans</t>
        </is>
      </c>
      <c r="P16" s="12" t="inlineStr">
        <is>
          <t>28/07/2026</t>
        </is>
      </c>
      <c r="Q16" s="12" t="inlineStr">
        <is>
          <t>FB2026-43716</t>
        </is>
      </c>
      <c r="R16" s="12" t="inlineStr">
        <is>
          <t>434</t>
        </is>
      </c>
      <c r="S16" s="4" t="inlineStr">
        <is>
          <t>Boutique</t>
        </is>
      </c>
      <c r="T16" s="4" t="inlineStr"/>
      <c r="U16" s="4" t="inlineStr">
        <is>
          <t>Normal</t>
        </is>
      </c>
      <c r="V16" s="4" t="inlineStr"/>
    </row>
    <row r="17">
      <c r="A17" s="4" t="inlineStr">
        <is>
          <t>Lot de 2 pompes immergées ROBBY VP550W</t>
        </is>
      </c>
      <c r="B17" s="5" t="n">
        <v>45</v>
      </c>
      <c r="C17" s="6">
        <f>$B17</f>
        <v/>
      </c>
      <c r="D17" s="7" t="n">
        <v>84</v>
      </c>
      <c r="E17" s="7">
        <f>IF($D17="","",$D17-$C17-$K17-$L17)</f>
        <v/>
      </c>
      <c r="F17" s="8">
        <f>IF($E17="","",$E17/$C17)</f>
        <v/>
      </c>
      <c r="G17" s="9" t="n">
        <v>2</v>
      </c>
      <c r="H17" s="6">
        <f>$C17/$G17</f>
        <v/>
      </c>
      <c r="I17" s="6">
        <f>IF($D17="","",$D17/$G17)</f>
        <v/>
      </c>
      <c r="J17" s="6">
        <f>IF($E17="","",$E17/$G17)</f>
        <v/>
      </c>
      <c r="K17" s="10">
        <f>IF($D17="","",$D17*(Paramètres!$B$5+Paramètres!$B$6))</f>
        <v/>
      </c>
      <c r="L17" s="6" t="n">
        <v>0</v>
      </c>
      <c r="M17" s="13" t="n"/>
      <c r="N17" s="13" t="n"/>
      <c r="O17" s="12" t="inlineStr">
        <is>
          <t>ADN (facture à retrouver)</t>
        </is>
      </c>
      <c r="P17" s="12" t="inlineStr">
        <is>
          <t>—</t>
        </is>
      </c>
      <c r="Q17" s="12" t="inlineStr">
        <is>
          <t>—</t>
        </is>
      </c>
      <c r="R17" s="12" t="inlineStr">
        <is>
          <t>84</t>
        </is>
      </c>
      <c r="S17" s="4" t="inlineStr">
        <is>
          <t>Leboncoin, main propre</t>
        </is>
      </c>
      <c r="T17" s="4" t="inlineStr"/>
      <c r="U17" s="4" t="inlineStr">
        <is>
          <t>Normal</t>
        </is>
      </c>
      <c r="V17" s="4" t="inlineStr"/>
    </row>
    <row r="18">
      <c r="A18" s="4" t="inlineStr">
        <is>
          <t>Lot de 12 paires de tongs HAVAIANAS fuchsia 35/36 — neuf</t>
        </is>
      </c>
      <c r="B18" s="5" t="n">
        <v>100.8</v>
      </c>
      <c r="C18" s="6">
        <f>$B18+$G18*Paramètres!$B$13</f>
        <v/>
      </c>
      <c r="D18" s="7" t="n">
        <v>159</v>
      </c>
      <c r="E18" s="7">
        <f>IF($D18="","",$D18-$C18-$K18-$L18)</f>
        <v/>
      </c>
      <c r="F18" s="8">
        <f>IF($E18="","",$E18/$C18)</f>
        <v/>
      </c>
      <c r="G18" s="9" t="n">
        <v>12</v>
      </c>
      <c r="H18" s="6">
        <f>$C18/$G18</f>
        <v/>
      </c>
      <c r="I18" s="6">
        <f>IF($D18="","",$D18/$G18)</f>
        <v/>
      </c>
      <c r="J18" s="6">
        <f>IF($E18="","",$E18/$G18)</f>
        <v/>
      </c>
      <c r="K18" s="10">
        <f>IF($D18="","",$D18*(Paramètres!$B$5+Paramètres!$B$6))</f>
        <v/>
      </c>
      <c r="L18" s="6" t="n">
        <v>0</v>
      </c>
      <c r="M18" s="11" t="n">
        <v>80</v>
      </c>
      <c r="N18" s="11" t="n">
        <v>20.8</v>
      </c>
      <c r="O18" s="12" t="inlineStr">
        <is>
          <t>ADN Lyon</t>
        </is>
      </c>
      <c r="P18" s="12" t="inlineStr">
        <is>
          <t>28/07/2026</t>
        </is>
      </c>
      <c r="Q18" s="12" t="inlineStr">
        <is>
          <t>FB2026-5844</t>
        </is>
      </c>
      <c r="R18" s="12" t="inlineStr">
        <is>
          <t>120</t>
        </is>
      </c>
      <c r="S18" s="4" t="inlineStr">
        <is>
          <t>Leboncoin, en lot</t>
        </is>
      </c>
      <c r="T18" s="4" t="inlineStr"/>
      <c r="U18" s="4" t="inlineStr">
        <is>
          <t>URGENT — saisonnier</t>
        </is>
      </c>
      <c r="V18" s="4" t="inlineStr"/>
    </row>
    <row r="19">
      <c r="A19" s="4" t="inlineStr">
        <is>
          <t>Blazer noir KARL LAGERFELD T.36 FR — neuf avec étiquette</t>
        </is>
      </c>
      <c r="B19" s="5" t="n">
        <v>50.4</v>
      </c>
      <c r="C19" s="6">
        <f>$B19+$G19*Paramètres!$B$13</f>
        <v/>
      </c>
      <c r="D19" s="7" t="n">
        <v>89</v>
      </c>
      <c r="E19" s="7">
        <f>IF($D19="","",$D19-$C19-$K19-$L19)</f>
        <v/>
      </c>
      <c r="F19" s="8">
        <f>IF($E19="","",$E19/$C19)</f>
        <v/>
      </c>
      <c r="G19" s="9" t="n">
        <v>1</v>
      </c>
      <c r="H19" s="6">
        <f>$C19/$G19</f>
        <v/>
      </c>
      <c r="I19" s="6">
        <f>IF($D19="","",$D19/$G19)</f>
        <v/>
      </c>
      <c r="J19" s="6">
        <f>IF($E19="","",$E19/$G19)</f>
        <v/>
      </c>
      <c r="K19" s="10">
        <f>IF($D19="","",$D19*(Paramètres!$B$5+Paramètres!$B$6))</f>
        <v/>
      </c>
      <c r="L19" s="6">
        <f>IF($D19="","",$D19*Paramètres!$B$7)</f>
        <v/>
      </c>
      <c r="M19" s="11" t="n">
        <v>40</v>
      </c>
      <c r="N19" s="11" t="n">
        <v>10.4</v>
      </c>
      <c r="O19" s="12" t="inlineStr">
        <is>
          <t>ADN Le Mans</t>
        </is>
      </c>
      <c r="P19" s="12" t="inlineStr">
        <is>
          <t>03/08/2026</t>
        </is>
      </c>
      <c r="Q19" s="12" t="inlineStr">
        <is>
          <t>FB2026-44194</t>
        </is>
      </c>
      <c r="R19" s="12" t="inlineStr">
        <is>
          <t>229</t>
        </is>
      </c>
      <c r="S19" s="4" t="inlineStr">
        <is>
          <t>Boutique</t>
        </is>
      </c>
      <c r="T19" s="4" t="inlineStr"/>
      <c r="U19" s="4" t="inlineStr">
        <is>
          <t>Normal</t>
        </is>
      </c>
      <c r="V19" s="4" t="inlineStr"/>
    </row>
    <row r="20">
      <c r="A20" s="4" t="inlineStr">
        <is>
          <t>CHIARA FERRAGNI robe bustier courte T.M — neuve</t>
        </is>
      </c>
      <c r="B20" s="5" t="n">
        <v>31.95</v>
      </c>
      <c r="C20" s="6">
        <f>$B20+$G20*Paramètres!$B$13</f>
        <v/>
      </c>
      <c r="D20" s="7" t="n">
        <v>69</v>
      </c>
      <c r="E20" s="7">
        <f>IF($D20="","",$D20-$C20-$K20-$L20)</f>
        <v/>
      </c>
      <c r="F20" s="8">
        <f>IF($E20="","",$E20/$C20)</f>
        <v/>
      </c>
      <c r="G20" s="9" t="n">
        <v>1</v>
      </c>
      <c r="H20" s="6">
        <f>$C20/$G20</f>
        <v/>
      </c>
      <c r="I20" s="6">
        <f>IF($D20="","",$D20/$G20)</f>
        <v/>
      </c>
      <c r="J20" s="6">
        <f>IF($E20="","",$E20/$G20)</f>
        <v/>
      </c>
      <c r="K20" s="10">
        <f>IF($D20="","",$D20*(Paramètres!$B$5+Paramètres!$B$6))</f>
        <v/>
      </c>
      <c r="L20" s="6">
        <f>IF($D20="","",$D20*Paramètres!$B$7)</f>
        <v/>
      </c>
      <c r="M20" s="11" t="n">
        <v>25</v>
      </c>
      <c r="N20" s="11" t="n">
        <v>6.5</v>
      </c>
      <c r="O20" s="12" t="inlineStr">
        <is>
          <t>ADN Lyon</t>
        </is>
      </c>
      <c r="P20" s="12" t="inlineStr">
        <is>
          <t>03/08/2026</t>
        </is>
      </c>
      <c r="Q20" s="12" t="inlineStr">
        <is>
          <t>FB2026-5996</t>
        </is>
      </c>
      <c r="R20" s="12" t="inlineStr">
        <is>
          <t>123</t>
        </is>
      </c>
      <c r="S20" s="4" t="inlineStr">
        <is>
          <t>Boutique + Leboncoin</t>
        </is>
      </c>
      <c r="T20" s="4" t="inlineStr"/>
      <c r="U20" s="4" t="inlineStr">
        <is>
          <t>Normal</t>
        </is>
      </c>
      <c r="V20" s="4" t="inlineStr"/>
    </row>
    <row r="21">
      <c r="A21" s="4" t="inlineStr">
        <is>
          <t>Ballerines MASSIMO DUTTI P.41 — traces d'essayage</t>
        </is>
      </c>
      <c r="B21" s="5" t="n">
        <v>25.2</v>
      </c>
      <c r="C21" s="6">
        <f>$B21+$G21*Paramètres!$B$13</f>
        <v/>
      </c>
      <c r="D21" s="7" t="n">
        <v>59</v>
      </c>
      <c r="E21" s="7">
        <f>IF($D21="","",$D21-$C21-$K21-$L21)</f>
        <v/>
      </c>
      <c r="F21" s="8">
        <f>IF($E21="","",$E21/$C21)</f>
        <v/>
      </c>
      <c r="G21" s="9" t="n">
        <v>1</v>
      </c>
      <c r="H21" s="6">
        <f>$C21/$G21</f>
        <v/>
      </c>
      <c r="I21" s="6">
        <f>IF($D21="","",$D21/$G21)</f>
        <v/>
      </c>
      <c r="J21" s="6">
        <f>IF($E21="","",$E21/$G21)</f>
        <v/>
      </c>
      <c r="K21" s="10">
        <f>IF($D21="","",$D21*(Paramètres!$B$5+Paramètres!$B$6))</f>
        <v/>
      </c>
      <c r="L21" s="6" t="n">
        <v>0</v>
      </c>
      <c r="M21" s="11" t="n">
        <v>20</v>
      </c>
      <c r="N21" s="11" t="n">
        <v>5.2</v>
      </c>
      <c r="O21" s="12" t="inlineStr">
        <is>
          <t>ADN Le Mans</t>
        </is>
      </c>
      <c r="P21" s="12" t="inlineStr">
        <is>
          <t>28/07/2026</t>
        </is>
      </c>
      <c r="Q21" s="12" t="inlineStr">
        <is>
          <t>FB2026-43716</t>
        </is>
      </c>
      <c r="R21" s="12" t="inlineStr">
        <is>
          <t>439</t>
        </is>
      </c>
      <c r="S21" s="4" t="inlineStr">
        <is>
          <t>Leboncoin + eBay</t>
        </is>
      </c>
      <c r="T21" s="4" t="inlineStr"/>
      <c r="U21" s="4" t="inlineStr">
        <is>
          <t>Normal</t>
        </is>
      </c>
      <c r="V21" s="4" t="inlineStr"/>
    </row>
    <row r="22">
      <c r="A22" s="4" t="inlineStr">
        <is>
          <t>PIER ANTONIO GASPARI robe droite bleu marine T.42 — neuve</t>
        </is>
      </c>
      <c r="B22" s="5" t="n">
        <v>25.56</v>
      </c>
      <c r="C22" s="6">
        <f>$B22+$G22*Paramètres!$B$13</f>
        <v/>
      </c>
      <c r="D22" s="7" t="n">
        <v>59</v>
      </c>
      <c r="E22" s="7">
        <f>IF($D22="","",$D22-$C22-$K22-$L22)</f>
        <v/>
      </c>
      <c r="F22" s="8">
        <f>IF($E22="","",$E22/$C22)</f>
        <v/>
      </c>
      <c r="G22" s="9" t="n">
        <v>1</v>
      </c>
      <c r="H22" s="6">
        <f>$C22/$G22</f>
        <v/>
      </c>
      <c r="I22" s="6">
        <f>IF($D22="","",$D22/$G22)</f>
        <v/>
      </c>
      <c r="J22" s="6">
        <f>IF($E22="","",$E22/$G22)</f>
        <v/>
      </c>
      <c r="K22" s="10">
        <f>IF($D22="","",$D22*(Paramètres!$B$5+Paramètres!$B$6))</f>
        <v/>
      </c>
      <c r="L22" s="6">
        <f>IF($D22="","",$D22*Paramètres!$B$7)</f>
        <v/>
      </c>
      <c r="M22" s="11" t="n">
        <v>20</v>
      </c>
      <c r="N22" s="11" t="n">
        <v>5.2</v>
      </c>
      <c r="O22" s="12" t="inlineStr">
        <is>
          <t>ADN Lyon</t>
        </is>
      </c>
      <c r="P22" s="12" t="inlineStr">
        <is>
          <t>03/08/2026</t>
        </is>
      </c>
      <c r="Q22" s="12" t="inlineStr">
        <is>
          <t>FB2026-5996</t>
        </is>
      </c>
      <c r="R22" s="12" t="inlineStr">
        <is>
          <t>29</t>
        </is>
      </c>
      <c r="S22" s="4" t="inlineStr">
        <is>
          <t>Boutique + Leboncoin</t>
        </is>
      </c>
      <c r="T22" s="4" t="inlineStr"/>
      <c r="U22" s="4" t="inlineStr">
        <is>
          <t>Normal</t>
        </is>
      </c>
      <c r="V22" s="4" t="inlineStr"/>
    </row>
    <row r="23">
      <c r="A23" s="4" t="inlineStr">
        <is>
          <t>Lot de 4 gilets de flottaison MRS.ERTHA 3-6 ans — neuf</t>
        </is>
      </c>
      <c r="B23" s="5" t="n">
        <v>37.8</v>
      </c>
      <c r="C23" s="6">
        <f>$B23+$G23*Paramètres!$B$13</f>
        <v/>
      </c>
      <c r="D23" s="7" t="n">
        <v>76</v>
      </c>
      <c r="E23" s="7">
        <f>IF($D23="","",$D23-$C23-$K23-$L23)</f>
        <v/>
      </c>
      <c r="F23" s="8">
        <f>IF($E23="","",$E23/$C23)</f>
        <v/>
      </c>
      <c r="G23" s="9" t="n">
        <v>4</v>
      </c>
      <c r="H23" s="6">
        <f>$C23/$G23</f>
        <v/>
      </c>
      <c r="I23" s="6">
        <f>IF($D23="","",$D23/$G23)</f>
        <v/>
      </c>
      <c r="J23" s="6">
        <f>IF($E23="","",$E23/$G23)</f>
        <v/>
      </c>
      <c r="K23" s="10">
        <f>IF($D23="","",$D23*(Paramètres!$B$5+Paramètres!$B$6))</f>
        <v/>
      </c>
      <c r="L23" s="6" t="n">
        <v>0</v>
      </c>
      <c r="M23" s="11" t="n">
        <v>30</v>
      </c>
      <c r="N23" s="11" t="n">
        <v>7.8</v>
      </c>
      <c r="O23" s="12" t="inlineStr">
        <is>
          <t>ADN Le Mans</t>
        </is>
      </c>
      <c r="P23" s="12" t="inlineStr">
        <is>
          <t>28/07/2026</t>
        </is>
      </c>
      <c r="Q23" s="12" t="inlineStr">
        <is>
          <t>FB2026-43717</t>
        </is>
      </c>
      <c r="R23" s="12" t="inlineStr">
        <is>
          <t>303</t>
        </is>
      </c>
      <c r="S23" s="4" t="inlineStr">
        <is>
          <t>Leboncoin + Vinted</t>
        </is>
      </c>
      <c r="T23" s="4" t="inlineStr"/>
      <c r="U23" s="4" t="inlineStr">
        <is>
          <t>URGENT — saisonnier</t>
        </is>
      </c>
      <c r="V23" s="4" t="inlineStr"/>
    </row>
    <row r="24">
      <c r="A24" s="4" t="inlineStr">
        <is>
          <t>PHILIPP PLEIN SPORT baskets montantes P.40 — neuves</t>
        </is>
      </c>
      <c r="B24" s="5" t="n">
        <v>57.51</v>
      </c>
      <c r="C24" s="6">
        <f>$B24+$G24*Paramètres!$B$13</f>
        <v/>
      </c>
      <c r="D24" s="7" t="n">
        <v>89</v>
      </c>
      <c r="E24" s="7">
        <f>IF($D24="","",$D24-$C24-$K24-$L24)</f>
        <v/>
      </c>
      <c r="F24" s="8">
        <f>IF($E24="","",$E24/$C24)</f>
        <v/>
      </c>
      <c r="G24" s="9" t="n">
        <v>1</v>
      </c>
      <c r="H24" s="6">
        <f>$C24/$G24</f>
        <v/>
      </c>
      <c r="I24" s="6">
        <f>IF($D24="","",$D24/$G24)</f>
        <v/>
      </c>
      <c r="J24" s="6">
        <f>IF($E24="","",$E24/$G24)</f>
        <v/>
      </c>
      <c r="K24" s="10">
        <f>IF($D24="","",$D24*(Paramètres!$B$5+Paramètres!$B$6))</f>
        <v/>
      </c>
      <c r="L24" s="6" t="n">
        <v>0</v>
      </c>
      <c r="M24" s="11" t="n">
        <v>45</v>
      </c>
      <c r="N24" s="11" t="n">
        <v>11.7</v>
      </c>
      <c r="O24" s="12" t="inlineStr">
        <is>
          <t>ADN Lyon</t>
        </is>
      </c>
      <c r="P24" s="12" t="inlineStr">
        <is>
          <t>03/08/2026</t>
        </is>
      </c>
      <c r="Q24" s="12" t="inlineStr">
        <is>
          <t>FB2026-6023</t>
        </is>
      </c>
      <c r="R24" s="12" t="inlineStr">
        <is>
          <t>159</t>
        </is>
      </c>
      <c r="S24" s="4" t="inlineStr">
        <is>
          <t>Leboncoin + eBay</t>
        </is>
      </c>
      <c r="T24" s="4" t="inlineStr"/>
      <c r="U24" s="4" t="inlineStr">
        <is>
          <t>Normal</t>
        </is>
      </c>
      <c r="V24" s="4" t="inlineStr"/>
    </row>
    <row r="25">
      <c r="A25" s="4" t="inlineStr">
        <is>
          <t>GEOX baskets P.35 — neuves</t>
        </is>
      </c>
      <c r="B25" s="5" t="n">
        <v>21.73</v>
      </c>
      <c r="C25" s="6">
        <f>$B25+$G25*Paramètres!$B$13</f>
        <v/>
      </c>
      <c r="D25" s="7" t="n">
        <v>49</v>
      </c>
      <c r="E25" s="7">
        <f>IF($D25="","",$D25-$C25-$K25-$L25)</f>
        <v/>
      </c>
      <c r="F25" s="8">
        <f>IF($E25="","",$E25/$C25)</f>
        <v/>
      </c>
      <c r="G25" s="9" t="n">
        <v>1</v>
      </c>
      <c r="H25" s="6">
        <f>$C25/$G25</f>
        <v/>
      </c>
      <c r="I25" s="6">
        <f>IF($D25="","",$D25/$G25)</f>
        <v/>
      </c>
      <c r="J25" s="6">
        <f>IF($E25="","",$E25/$G25)</f>
        <v/>
      </c>
      <c r="K25" s="10">
        <f>IF($D25="","",$D25*(Paramètres!$B$5+Paramètres!$B$6))</f>
        <v/>
      </c>
      <c r="L25" s="6" t="n">
        <v>0</v>
      </c>
      <c r="M25" s="11" t="n">
        <v>17</v>
      </c>
      <c r="N25" s="11" t="n">
        <v>4.42</v>
      </c>
      <c r="O25" s="12" t="inlineStr">
        <is>
          <t>ADN Lyon</t>
        </is>
      </c>
      <c r="P25" s="12" t="inlineStr">
        <is>
          <t>03/08/2026</t>
        </is>
      </c>
      <c r="Q25" s="12" t="inlineStr">
        <is>
          <t>FB2026-6023</t>
        </is>
      </c>
      <c r="R25" s="12" t="inlineStr">
        <is>
          <t>155</t>
        </is>
      </c>
      <c r="S25" s="4" t="inlineStr">
        <is>
          <t>Leboncoin + eBay</t>
        </is>
      </c>
      <c r="T25" s="4" t="inlineStr"/>
      <c r="U25" s="4" t="inlineStr">
        <is>
          <t>Normal</t>
        </is>
      </c>
      <c r="V25" s="4" t="inlineStr"/>
    </row>
    <row r="26">
      <c r="A26" s="4" t="inlineStr">
        <is>
          <t>Short BA&amp;SH Fegor T.34 — neuf</t>
        </is>
      </c>
      <c r="B26" s="5" t="n">
        <v>50.4</v>
      </c>
      <c r="C26" s="6">
        <f>$B26+$G26*Paramètres!$B$13</f>
        <v/>
      </c>
      <c r="D26" s="7" t="n">
        <v>75</v>
      </c>
      <c r="E26" s="7">
        <f>IF($D26="","",$D26-$C26-$K26-$L26)</f>
        <v/>
      </c>
      <c r="F26" s="8">
        <f>IF($E26="","",$E26/$C26)</f>
        <v/>
      </c>
      <c r="G26" s="9" t="n">
        <v>1</v>
      </c>
      <c r="H26" s="6">
        <f>$C26/$G26</f>
        <v/>
      </c>
      <c r="I26" s="6">
        <f>IF($D26="","",$D26/$G26)</f>
        <v/>
      </c>
      <c r="J26" s="6">
        <f>IF($E26="","",$E26/$G26)</f>
        <v/>
      </c>
      <c r="K26" s="10">
        <f>IF($D26="","",$D26*(Paramètres!$B$5+Paramètres!$B$6))</f>
        <v/>
      </c>
      <c r="L26" s="6">
        <f>IF($D26="","",$D26*Paramètres!$B$7)</f>
        <v/>
      </c>
      <c r="M26" s="11" t="n">
        <v>40</v>
      </c>
      <c r="N26" s="11" t="n">
        <v>10.4</v>
      </c>
      <c r="O26" s="12" t="inlineStr">
        <is>
          <t>ADN Le Mans</t>
        </is>
      </c>
      <c r="P26" s="12" t="inlineStr">
        <is>
          <t>28/07/2026</t>
        </is>
      </c>
      <c r="Q26" s="12" t="inlineStr">
        <is>
          <t>FB2026-43716</t>
        </is>
      </c>
      <c r="R26" s="12" t="inlineStr">
        <is>
          <t>408</t>
        </is>
      </c>
      <c r="S26" s="4" t="inlineStr">
        <is>
          <t>Boutique</t>
        </is>
      </c>
      <c r="T26" s="4" t="inlineStr"/>
      <c r="U26" s="4" t="inlineStr">
        <is>
          <t>URGENT — saisonnier</t>
        </is>
      </c>
      <c r="V26" s="4" t="inlineStr"/>
    </row>
    <row r="27">
      <c r="A27" s="4" t="inlineStr">
        <is>
          <t>NEW BALANCE G19064IK Alkaline Green P.38½ — neuves avec boîte</t>
        </is>
      </c>
      <c r="B27" s="5" t="n">
        <v>75.59999999999999</v>
      </c>
      <c r="C27" s="6">
        <f>$B27+$G27*Paramètres!$B$13</f>
        <v/>
      </c>
      <c r="D27" s="7" t="n">
        <v>99</v>
      </c>
      <c r="E27" s="7">
        <f>IF($D27="","",$D27-$C27-$K27-$L27)</f>
        <v/>
      </c>
      <c r="F27" s="8">
        <f>IF($E27="","",$E27/$C27)</f>
        <v/>
      </c>
      <c r="G27" s="9" t="n">
        <v>1</v>
      </c>
      <c r="H27" s="6">
        <f>$C27/$G27</f>
        <v/>
      </c>
      <c r="I27" s="6">
        <f>IF($D27="","",$D27/$G27)</f>
        <v/>
      </c>
      <c r="J27" s="6">
        <f>IF($E27="","",$E27/$G27)</f>
        <v/>
      </c>
      <c r="K27" s="10">
        <f>IF($D27="","",$D27*(Paramètres!$B$5+Paramètres!$B$6))</f>
        <v/>
      </c>
      <c r="L27" s="6" t="n">
        <v>0</v>
      </c>
      <c r="M27" s="11" t="n">
        <v>60</v>
      </c>
      <c r="N27" s="11" t="n">
        <v>15.6</v>
      </c>
      <c r="O27" s="12" t="inlineStr">
        <is>
          <t>ADN Le Mans</t>
        </is>
      </c>
      <c r="P27" s="12" t="inlineStr">
        <is>
          <t>28/07/2026</t>
        </is>
      </c>
      <c r="Q27" s="12" t="inlineStr">
        <is>
          <t>FB2026-43716</t>
        </is>
      </c>
      <c r="R27" s="12" t="inlineStr">
        <is>
          <t>199</t>
        </is>
      </c>
      <c r="S27" s="4" t="inlineStr">
        <is>
          <t>Leboncoin</t>
        </is>
      </c>
      <c r="T27" s="4" t="inlineStr"/>
      <c r="U27" s="4" t="inlineStr">
        <is>
          <t>Liquider</t>
        </is>
      </c>
      <c r="V27" s="4" t="inlineStr"/>
    </row>
    <row r="28">
      <c r="A28" s="14" t="inlineStr">
        <is>
          <t>SALOMON X Ultra 5 Mid GTX P.44 — neuves</t>
        </is>
      </c>
      <c r="B28" s="15" t="n">
        <v>76.68000000000001</v>
      </c>
      <c r="C28" s="16">
        <f>$B28+$G28*Paramètres!$B$13</f>
        <v/>
      </c>
      <c r="D28" s="17" t="n">
        <v>100</v>
      </c>
      <c r="E28" s="17">
        <f>IF($D28="","",$D28-$C28-$K28-$L28)</f>
        <v/>
      </c>
      <c r="F28" s="18">
        <f>IF($E28="","",$E28/$C28)</f>
        <v/>
      </c>
      <c r="G28" s="19" t="n">
        <v>1</v>
      </c>
      <c r="H28" s="16">
        <f>$C28/$G28</f>
        <v/>
      </c>
      <c r="I28" s="16">
        <f>IF($D28="","",$D28/$G28)</f>
        <v/>
      </c>
      <c r="J28" s="16">
        <f>IF($E28="","",$E28/$G28)</f>
        <v/>
      </c>
      <c r="K28" s="20">
        <f>IF($D28="","",$D28*(Paramètres!$B$5+Paramètres!$B$6))</f>
        <v/>
      </c>
      <c r="L28" s="16" t="n">
        <v>0</v>
      </c>
      <c r="M28" s="21" t="n">
        <v>60</v>
      </c>
      <c r="N28" s="21" t="n">
        <v>15.6</v>
      </c>
      <c r="O28" s="22" t="inlineStr">
        <is>
          <t>ADN Le Mans</t>
        </is>
      </c>
      <c r="P28" s="22" t="inlineStr">
        <is>
          <t>03/08/2026</t>
        </is>
      </c>
      <c r="Q28" s="22" t="inlineStr">
        <is>
          <t>FB2026-44192</t>
        </is>
      </c>
      <c r="R28" s="22" t="inlineStr">
        <is>
          <t>11</t>
        </is>
      </c>
      <c r="S28" s="14" t="inlineStr">
        <is>
          <t>Vinted, acheteur en Italie</t>
        </is>
      </c>
      <c r="T28" s="14" t="inlineStr"/>
      <c r="U28" s="14" t="inlineStr">
        <is>
          <t>VENDUE</t>
        </is>
      </c>
      <c r="V28" s="14" t="inlineStr">
        <is>
          <t>12/08/2026</t>
        </is>
      </c>
    </row>
    <row r="29">
      <c r="A29" s="4" t="inlineStr">
        <is>
          <t>EMPORIO ARMANI baskets P.36 — neuves</t>
        </is>
      </c>
      <c r="B29" s="5" t="n">
        <v>51.12</v>
      </c>
      <c r="C29" s="6">
        <f>$B29+$G29*Paramètres!$B$13</f>
        <v/>
      </c>
      <c r="D29" s="7" t="n">
        <v>69</v>
      </c>
      <c r="E29" s="7">
        <f>IF($D29="","",$D29-$C29-$K29-$L29)</f>
        <v/>
      </c>
      <c r="F29" s="8">
        <f>IF($E29="","",$E29/$C29)</f>
        <v/>
      </c>
      <c r="G29" s="9" t="n">
        <v>1</v>
      </c>
      <c r="H29" s="6">
        <f>$C29/$G29</f>
        <v/>
      </c>
      <c r="I29" s="6">
        <f>IF($D29="","",$D29/$G29)</f>
        <v/>
      </c>
      <c r="J29" s="6">
        <f>IF($E29="","",$E29/$G29)</f>
        <v/>
      </c>
      <c r="K29" s="10">
        <f>IF($D29="","",$D29*(Paramètres!$B$5+Paramètres!$B$6))</f>
        <v/>
      </c>
      <c r="L29" s="6" t="n">
        <v>0</v>
      </c>
      <c r="M29" s="11" t="n">
        <v>40</v>
      </c>
      <c r="N29" s="11" t="n">
        <v>10.4</v>
      </c>
      <c r="O29" s="12" t="inlineStr">
        <is>
          <t>ADN Lyon</t>
        </is>
      </c>
      <c r="P29" s="12" t="inlineStr">
        <is>
          <t>03/08/2026</t>
        </is>
      </c>
      <c r="Q29" s="12" t="inlineStr">
        <is>
          <t>FB2026-6023</t>
        </is>
      </c>
      <c r="R29" s="12" t="inlineStr">
        <is>
          <t>150</t>
        </is>
      </c>
      <c r="S29" s="4" t="inlineStr">
        <is>
          <t>Leboncoin</t>
        </is>
      </c>
      <c r="T29" s="4" t="inlineStr"/>
      <c r="U29" s="4" t="inlineStr">
        <is>
          <t>Liquider</t>
        </is>
      </c>
      <c r="V29" s="4" t="inlineStr"/>
    </row>
    <row r="30">
      <c r="A30" s="4" t="inlineStr">
        <is>
          <t>NEW BALANCE sneakers P.38 — neuves</t>
        </is>
      </c>
      <c r="B30" s="5" t="n">
        <v>38.34</v>
      </c>
      <c r="C30" s="6">
        <f>$B30+$G30*Paramètres!$B$13</f>
        <v/>
      </c>
      <c r="D30" s="7" t="n">
        <v>54</v>
      </c>
      <c r="E30" s="7">
        <f>IF($D30="","",$D30-$C30-$K30-$L30)</f>
        <v/>
      </c>
      <c r="F30" s="8">
        <f>IF($E30="","",$E30/$C30)</f>
        <v/>
      </c>
      <c r="G30" s="9" t="n">
        <v>1</v>
      </c>
      <c r="H30" s="6">
        <f>$C30/$G30</f>
        <v/>
      </c>
      <c r="I30" s="6">
        <f>IF($D30="","",$D30/$G30)</f>
        <v/>
      </c>
      <c r="J30" s="6">
        <f>IF($E30="","",$E30/$G30)</f>
        <v/>
      </c>
      <c r="K30" s="10">
        <f>IF($D30="","",$D30*(Paramètres!$B$5+Paramètres!$B$6))</f>
        <v/>
      </c>
      <c r="L30" s="6" t="n">
        <v>0</v>
      </c>
      <c r="M30" s="11" t="n">
        <v>30</v>
      </c>
      <c r="N30" s="11" t="n">
        <v>7.8</v>
      </c>
      <c r="O30" s="12" t="inlineStr">
        <is>
          <t>ADN Lyon</t>
        </is>
      </c>
      <c r="P30" s="12" t="inlineStr">
        <is>
          <t>03/08/2026</t>
        </is>
      </c>
      <c r="Q30" s="12" t="inlineStr">
        <is>
          <t>FB2026-6023</t>
        </is>
      </c>
      <c r="R30" s="12" t="inlineStr">
        <is>
          <t>114</t>
        </is>
      </c>
      <c r="S30" s="4" t="inlineStr">
        <is>
          <t>Leboncoin</t>
        </is>
      </c>
      <c r="T30" s="4" t="inlineStr"/>
      <c r="U30" s="4" t="inlineStr">
        <is>
          <t>Liquider</t>
        </is>
      </c>
      <c r="V30" s="4" t="inlineStr"/>
    </row>
    <row r="31">
      <c r="A31" s="4" t="inlineStr">
        <is>
          <t>NEW BALANCE baskets montantes P.44 — neuves</t>
        </is>
      </c>
      <c r="B31" s="5" t="n">
        <v>51.12</v>
      </c>
      <c r="C31" s="6">
        <f>$B31+$G31*Paramètres!$B$13</f>
        <v/>
      </c>
      <c r="D31" s="7" t="n">
        <v>65</v>
      </c>
      <c r="E31" s="7">
        <f>IF($D31="","",$D31-$C31-$K31-$L31)</f>
        <v/>
      </c>
      <c r="F31" s="8">
        <f>IF($E31="","",$E31/$C31)</f>
        <v/>
      </c>
      <c r="G31" s="9" t="n">
        <v>1</v>
      </c>
      <c r="H31" s="6">
        <f>$C31/$G31</f>
        <v/>
      </c>
      <c r="I31" s="6">
        <f>IF($D31="","",$D31/$G31)</f>
        <v/>
      </c>
      <c r="J31" s="6">
        <f>IF($E31="","",$E31/$G31)</f>
        <v/>
      </c>
      <c r="K31" s="10">
        <f>IF($D31="","",$D31*(Paramètres!$B$5+Paramètres!$B$6))</f>
        <v/>
      </c>
      <c r="L31" s="6" t="n">
        <v>0</v>
      </c>
      <c r="M31" s="11" t="n">
        <v>40</v>
      </c>
      <c r="N31" s="11" t="n">
        <v>10.4</v>
      </c>
      <c r="O31" s="12" t="inlineStr">
        <is>
          <t>ADN Lyon</t>
        </is>
      </c>
      <c r="P31" s="12" t="inlineStr">
        <is>
          <t>03/08/2026</t>
        </is>
      </c>
      <c r="Q31" s="12" t="inlineStr">
        <is>
          <t>FB2026-6023</t>
        </is>
      </c>
      <c r="R31" s="12" t="inlineStr">
        <is>
          <t>156</t>
        </is>
      </c>
      <c r="S31" s="4" t="inlineStr">
        <is>
          <t>Leboncoin</t>
        </is>
      </c>
      <c r="T31" s="4" t="inlineStr"/>
      <c r="U31" s="4" t="inlineStr">
        <is>
          <t>Liquider</t>
        </is>
      </c>
      <c r="V31" s="4" t="inlineStr"/>
    </row>
    <row r="32">
      <c r="A32" s="4" t="inlineStr">
        <is>
          <t>TOMMY JEANS baskets basses P.40 — neuves</t>
        </is>
      </c>
      <c r="B32" s="5" t="n">
        <v>52.4</v>
      </c>
      <c r="C32" s="6">
        <f>$B32+$G32*Paramètres!$B$13</f>
        <v/>
      </c>
      <c r="D32" s="7" t="n">
        <v>65</v>
      </c>
      <c r="E32" s="7">
        <f>IF($D32="","",$D32-$C32-$K32-$L32)</f>
        <v/>
      </c>
      <c r="F32" s="8">
        <f>IF($E32="","",$E32/$C32)</f>
        <v/>
      </c>
      <c r="G32" s="9" t="n">
        <v>1</v>
      </c>
      <c r="H32" s="6">
        <f>$C32/$G32</f>
        <v/>
      </c>
      <c r="I32" s="6">
        <f>IF($D32="","",$D32/$G32)</f>
        <v/>
      </c>
      <c r="J32" s="6">
        <f>IF($E32="","",$E32/$G32)</f>
        <v/>
      </c>
      <c r="K32" s="10">
        <f>IF($D32="","",$D32*(Paramètres!$B$5+Paramètres!$B$6))</f>
        <v/>
      </c>
      <c r="L32" s="6" t="n">
        <v>0</v>
      </c>
      <c r="M32" s="11" t="n">
        <v>41</v>
      </c>
      <c r="N32" s="11" t="n">
        <v>10.66</v>
      </c>
      <c r="O32" s="12" t="inlineStr">
        <is>
          <t>ADN Lyon</t>
        </is>
      </c>
      <c r="P32" s="12" t="inlineStr">
        <is>
          <t>03/08/2026</t>
        </is>
      </c>
      <c r="Q32" s="12" t="inlineStr">
        <is>
          <t>FB2026-6023</t>
        </is>
      </c>
      <c r="R32" s="12" t="inlineStr">
        <is>
          <t>158</t>
        </is>
      </c>
      <c r="S32" s="4" t="inlineStr">
        <is>
          <t>Leboncoin + eBay</t>
        </is>
      </c>
      <c r="T32" s="4" t="inlineStr"/>
      <c r="U32" s="4" t="inlineStr">
        <is>
          <t>Liquider</t>
        </is>
      </c>
      <c r="V32" s="4" t="inlineStr"/>
    </row>
    <row r="33">
      <c r="A33" s="23" t="inlineStr">
        <is>
          <t>Lot de 4 toupies BEYBLADE HASBRO</t>
        </is>
      </c>
      <c r="B33" s="24" t="n">
        <v>19.17</v>
      </c>
      <c r="C33" s="25">
        <f>$B33+$G33*Paramètres!$B$13</f>
        <v/>
      </c>
      <c r="D33" s="26" t="n"/>
      <c r="E33" s="27">
        <f>IF($D33="","",$D33-$C33-$K33-$L33)</f>
        <v/>
      </c>
      <c r="F33" s="28">
        <f>IF($E33="","",$E33/$C33)</f>
        <v/>
      </c>
      <c r="G33" s="29" t="n">
        <v>4</v>
      </c>
      <c r="H33" s="25">
        <f>$C33/$G33</f>
        <v/>
      </c>
      <c r="I33" s="25">
        <f>IF($D33="","",$D33/$G33)</f>
        <v/>
      </c>
      <c r="J33" s="25">
        <f>IF($E33="","",$E33/$G33)</f>
        <v/>
      </c>
      <c r="K33" s="30">
        <f>IF($D33="","",$D33*(Paramètres!$B$5+Paramètres!$B$6))</f>
        <v/>
      </c>
      <c r="L33" s="25" t="n">
        <v>0</v>
      </c>
      <c r="M33" s="31" t="n">
        <v>15</v>
      </c>
      <c r="N33" s="31" t="n">
        <v>3.9</v>
      </c>
      <c r="O33" s="32" t="inlineStr">
        <is>
          <t>ADN Le Mans</t>
        </is>
      </c>
      <c r="P33" s="32" t="inlineStr">
        <is>
          <t>03/08/2026</t>
        </is>
      </c>
      <c r="Q33" s="32" t="inlineStr">
        <is>
          <t>FB2026-44192</t>
        </is>
      </c>
      <c r="R33" s="32" t="inlineStr">
        <is>
          <t>159</t>
        </is>
      </c>
      <c r="S33" s="23" t="inlineStr">
        <is>
          <t>Leboncoin + eBay</t>
        </is>
      </c>
      <c r="T33" s="23" t="inlineStr"/>
      <c r="U33" s="23" t="inlineStr">
        <is>
          <t>PRIX À ÉTABLIR</t>
        </is>
      </c>
      <c r="V33" s="23" t="inlineStr"/>
    </row>
    <row r="34">
      <c r="A34" s="23" t="inlineStr">
        <is>
          <t>Veste en jean ARMANI EXCHANGE T.S — neuve</t>
        </is>
      </c>
      <c r="B34" s="24" t="n">
        <v>25.2</v>
      </c>
      <c r="C34" s="25">
        <f>$B34+$G34*Paramètres!$B$13</f>
        <v/>
      </c>
      <c r="D34" s="26" t="n"/>
      <c r="E34" s="27">
        <f>IF($D34="","",$D34-$C34-$K34-$L34)</f>
        <v/>
      </c>
      <c r="F34" s="28">
        <f>IF($E34="","",$E34/$C34)</f>
        <v/>
      </c>
      <c r="G34" s="29" t="n">
        <v>1</v>
      </c>
      <c r="H34" s="25">
        <f>$C34/$G34</f>
        <v/>
      </c>
      <c r="I34" s="25">
        <f>IF($D34="","",$D34/$G34)</f>
        <v/>
      </c>
      <c r="J34" s="25">
        <f>IF($E34="","",$E34/$G34)</f>
        <v/>
      </c>
      <c r="K34" s="30">
        <f>IF($D34="","",$D34*(Paramètres!$B$5+Paramètres!$B$6))</f>
        <v/>
      </c>
      <c r="L34" s="25">
        <f>IF($D34="","",$D34*Paramètres!$B$7)</f>
        <v/>
      </c>
      <c r="M34" s="31" t="n">
        <v>20</v>
      </c>
      <c r="N34" s="31" t="n">
        <v>5.2</v>
      </c>
      <c r="O34" s="32" t="inlineStr">
        <is>
          <t>ADN Le Mans</t>
        </is>
      </c>
      <c r="P34" s="32" t="inlineStr">
        <is>
          <t>28/07/2026</t>
        </is>
      </c>
      <c r="Q34" s="32" t="inlineStr">
        <is>
          <t>FB2026-43717</t>
        </is>
      </c>
      <c r="R34" s="32" t="inlineStr">
        <is>
          <t>168</t>
        </is>
      </c>
      <c r="S34" s="23" t="inlineStr">
        <is>
          <t>Boutique</t>
        </is>
      </c>
      <c r="T34" s="23" t="inlineStr"/>
      <c r="U34" s="23" t="inlineStr">
        <is>
          <t>PRIX À ÉTABLIR</t>
        </is>
      </c>
      <c r="V34" s="23" t="inlineStr"/>
    </row>
    <row r="35">
      <c r="A35" s="23" t="inlineStr">
        <is>
          <t>Lot de 4 toupies BEYBLADE HASBRO</t>
        </is>
      </c>
      <c r="B35" s="24" t="n">
        <v>38.34</v>
      </c>
      <c r="C35" s="25">
        <f>$B35+$G35*Paramètres!$B$13</f>
        <v/>
      </c>
      <c r="D35" s="26" t="n"/>
      <c r="E35" s="27">
        <f>IF($D35="","",$D35-$C35-$K35-$L35)</f>
        <v/>
      </c>
      <c r="F35" s="28">
        <f>IF($E35="","",$E35/$C35)</f>
        <v/>
      </c>
      <c r="G35" s="29" t="n">
        <v>4</v>
      </c>
      <c r="H35" s="25">
        <f>$C35/$G35</f>
        <v/>
      </c>
      <c r="I35" s="25">
        <f>IF($D35="","",$D35/$G35)</f>
        <v/>
      </c>
      <c r="J35" s="25">
        <f>IF($E35="","",$E35/$G35)</f>
        <v/>
      </c>
      <c r="K35" s="30">
        <f>IF($D35="","",$D35*(Paramètres!$B$5+Paramètres!$B$6))</f>
        <v/>
      </c>
      <c r="L35" s="25" t="n">
        <v>0</v>
      </c>
      <c r="M35" s="31" t="n">
        <v>30</v>
      </c>
      <c r="N35" s="31" t="n">
        <v>7.8</v>
      </c>
      <c r="O35" s="32" t="inlineStr">
        <is>
          <t>ADN Le Mans</t>
        </is>
      </c>
      <c r="P35" s="32" t="inlineStr">
        <is>
          <t>03/08/2026</t>
        </is>
      </c>
      <c r="Q35" s="32" t="inlineStr">
        <is>
          <t>FB2026-44192</t>
        </is>
      </c>
      <c r="R35" s="32" t="inlineStr">
        <is>
          <t>299</t>
        </is>
      </c>
      <c r="S35" s="23" t="inlineStr">
        <is>
          <t>Leboncoin + eBay</t>
        </is>
      </c>
      <c r="T35" s="23" t="inlineStr"/>
      <c r="U35" s="23" t="inlineStr">
        <is>
          <t>PRIX À ÉTABLIR</t>
        </is>
      </c>
      <c r="V35" s="23" t="inlineStr"/>
    </row>
    <row r="36">
      <c r="A36" s="23" t="inlineStr">
        <is>
          <t>Baskets NIKE Air Max Moto 2K P.44.5 — neuves</t>
        </is>
      </c>
      <c r="B36" s="24" t="n">
        <v>50.4</v>
      </c>
      <c r="C36" s="25">
        <f>$B36+$G36*Paramètres!$B$13</f>
        <v/>
      </c>
      <c r="D36" s="26" t="n"/>
      <c r="E36" s="27">
        <f>IF($D36="","",$D36-$C36-$K36-$L36)</f>
        <v/>
      </c>
      <c r="F36" s="28">
        <f>IF($E36="","",$E36/$C36)</f>
        <v/>
      </c>
      <c r="G36" s="29" t="n">
        <v>1</v>
      </c>
      <c r="H36" s="25">
        <f>$C36/$G36</f>
        <v/>
      </c>
      <c r="I36" s="25">
        <f>IF($D36="","",$D36/$G36)</f>
        <v/>
      </c>
      <c r="J36" s="25">
        <f>IF($E36="","",$E36/$G36)</f>
        <v/>
      </c>
      <c r="K36" s="30">
        <f>IF($D36="","",$D36*(Paramètres!$B$5+Paramètres!$B$6))</f>
        <v/>
      </c>
      <c r="L36" s="25" t="n">
        <v>0</v>
      </c>
      <c r="M36" s="31" t="n">
        <v>40</v>
      </c>
      <c r="N36" s="31" t="n">
        <v>10.4</v>
      </c>
      <c r="O36" s="32" t="inlineStr">
        <is>
          <t>ADN Le Mans</t>
        </is>
      </c>
      <c r="P36" s="32" t="inlineStr">
        <is>
          <t>28/07/2026</t>
        </is>
      </c>
      <c r="Q36" s="32" t="inlineStr">
        <is>
          <t>FB2026-43716</t>
        </is>
      </c>
      <c r="R36" s="32" t="inlineStr">
        <is>
          <t>170</t>
        </is>
      </c>
      <c r="S36" s="23" t="inlineStr">
        <is>
          <t>Leboncoin + eBay</t>
        </is>
      </c>
      <c r="T36" s="23" t="inlineStr"/>
      <c r="U36" s="23" t="inlineStr">
        <is>
          <t>PRIX À ÉTABLIR</t>
        </is>
      </c>
      <c r="V36" s="23" t="inlineStr"/>
    </row>
    <row r="37">
      <c r="A37" s="23" t="inlineStr">
        <is>
          <t>Sac demi-lune nylon noir KARL LAGERFELD JEANS — neuf avec étiquette</t>
        </is>
      </c>
      <c r="B37" s="24" t="n">
        <v>50.4</v>
      </c>
      <c r="C37" s="25">
        <f>$B37+$G37*Paramètres!$B$13</f>
        <v/>
      </c>
      <c r="D37" s="26" t="n"/>
      <c r="E37" s="27">
        <f>IF($D37="","",$D37-$C37-$K37-$L37)</f>
        <v/>
      </c>
      <c r="F37" s="28">
        <f>IF($E37="","",$E37/$C37)</f>
        <v/>
      </c>
      <c r="G37" s="29" t="n">
        <v>1</v>
      </c>
      <c r="H37" s="25">
        <f>$C37/$G37</f>
        <v/>
      </c>
      <c r="I37" s="25">
        <f>IF($D37="","",$D37/$G37)</f>
        <v/>
      </c>
      <c r="J37" s="25">
        <f>IF($E37="","",$E37/$G37)</f>
        <v/>
      </c>
      <c r="K37" s="30">
        <f>IF($D37="","",$D37*(Paramètres!$B$5+Paramètres!$B$6))</f>
        <v/>
      </c>
      <c r="L37" s="25">
        <f>IF($D37="","",$D37*Paramètres!$B$7)</f>
        <v/>
      </c>
      <c r="M37" s="31" t="n">
        <v>40</v>
      </c>
      <c r="N37" s="31" t="n">
        <v>10.4</v>
      </c>
      <c r="O37" s="32" t="inlineStr">
        <is>
          <t>ADN Le Mans</t>
        </is>
      </c>
      <c r="P37" s="32" t="inlineStr">
        <is>
          <t>28/07/2026</t>
        </is>
      </c>
      <c r="Q37" s="32" t="inlineStr">
        <is>
          <t>FB2026-43716</t>
        </is>
      </c>
      <c r="R37" s="32" t="inlineStr">
        <is>
          <t>431</t>
        </is>
      </c>
      <c r="S37" s="23" t="inlineStr">
        <is>
          <t>Boutique</t>
        </is>
      </c>
      <c r="T37" s="23" t="inlineStr"/>
      <c r="U37" s="23" t="inlineStr">
        <is>
          <t>PRIX À ÉTABLIR</t>
        </is>
      </c>
      <c r="V37" s="23" t="inlineStr"/>
    </row>
    <row r="38">
      <c r="A38" s="23" t="inlineStr">
        <is>
          <t>LACOSTE sneakers P.42 — neuves</t>
        </is>
      </c>
      <c r="B38" s="24" t="n">
        <v>57.51</v>
      </c>
      <c r="C38" s="25">
        <f>$B38+$G38*Paramètres!$B$13</f>
        <v/>
      </c>
      <c r="D38" s="26" t="n"/>
      <c r="E38" s="27">
        <f>IF($D38="","",$D38-$C38-$K38-$L38)</f>
        <v/>
      </c>
      <c r="F38" s="28">
        <f>IF($E38="","",$E38/$C38)</f>
        <v/>
      </c>
      <c r="G38" s="29" t="n">
        <v>1</v>
      </c>
      <c r="H38" s="25">
        <f>$C38/$G38</f>
        <v/>
      </c>
      <c r="I38" s="25">
        <f>IF($D38="","",$D38/$G38)</f>
        <v/>
      </c>
      <c r="J38" s="25">
        <f>IF($E38="","",$E38/$G38)</f>
        <v/>
      </c>
      <c r="K38" s="30">
        <f>IF($D38="","",$D38*(Paramètres!$B$5+Paramètres!$B$6))</f>
        <v/>
      </c>
      <c r="L38" s="25" t="n">
        <v>0</v>
      </c>
      <c r="M38" s="31" t="n">
        <v>45</v>
      </c>
      <c r="N38" s="31" t="n">
        <v>11.7</v>
      </c>
      <c r="O38" s="32" t="inlineStr">
        <is>
          <t>ADN Lyon</t>
        </is>
      </c>
      <c r="P38" s="32" t="inlineStr">
        <is>
          <t>03/08/2026</t>
        </is>
      </c>
      <c r="Q38" s="32" t="inlineStr">
        <is>
          <t>FB2026-6023</t>
        </is>
      </c>
      <c r="R38" s="32" t="inlineStr">
        <is>
          <t>141</t>
        </is>
      </c>
      <c r="S38" s="23" t="inlineStr">
        <is>
          <t>Leboncoin + eBay</t>
        </is>
      </c>
      <c r="T38" s="23" t="inlineStr"/>
      <c r="U38" s="23" t="inlineStr">
        <is>
          <t>PRIX À ÉTABLIR</t>
        </is>
      </c>
      <c r="V38" s="23" t="inlineStr"/>
    </row>
    <row r="39">
      <c r="A39" s="23" t="inlineStr">
        <is>
          <t>Baskets HOKA P.37 1/3 — neuves</t>
        </is>
      </c>
      <c r="B39" s="24" t="n">
        <v>63</v>
      </c>
      <c r="C39" s="25">
        <f>$B39+$G39*Paramètres!$B$13</f>
        <v/>
      </c>
      <c r="D39" s="26" t="n"/>
      <c r="E39" s="27">
        <f>IF($D39="","",$D39-$C39-$K39-$L39)</f>
        <v/>
      </c>
      <c r="F39" s="28">
        <f>IF($E39="","",$E39/$C39)</f>
        <v/>
      </c>
      <c r="G39" s="29" t="n">
        <v>1</v>
      </c>
      <c r="H39" s="25">
        <f>$C39/$G39</f>
        <v/>
      </c>
      <c r="I39" s="25">
        <f>IF($D39="","",$D39/$G39)</f>
        <v/>
      </c>
      <c r="J39" s="25">
        <f>IF($E39="","",$E39/$G39)</f>
        <v/>
      </c>
      <c r="K39" s="30">
        <f>IF($D39="","",$D39*(Paramètres!$B$5+Paramètres!$B$6))</f>
        <v/>
      </c>
      <c r="L39" s="25" t="n">
        <v>0</v>
      </c>
      <c r="M39" s="31" t="n">
        <v>50</v>
      </c>
      <c r="N39" s="31" t="n">
        <v>13</v>
      </c>
      <c r="O39" s="32" t="inlineStr">
        <is>
          <t>ADN Le Mans</t>
        </is>
      </c>
      <c r="P39" s="32" t="inlineStr">
        <is>
          <t>28/07/2026</t>
        </is>
      </c>
      <c r="Q39" s="32" t="inlineStr">
        <is>
          <t>FB2026-43716</t>
        </is>
      </c>
      <c r="R39" s="32" t="inlineStr">
        <is>
          <t>103</t>
        </is>
      </c>
      <c r="S39" s="23" t="inlineStr">
        <is>
          <t>Leboncoin + eBay</t>
        </is>
      </c>
      <c r="T39" s="23" t="inlineStr"/>
      <c r="U39" s="23" t="inlineStr">
        <is>
          <t>PRIX À ÉTABLIR</t>
        </is>
      </c>
      <c r="V39" s="23" t="inlineStr"/>
    </row>
    <row r="40">
      <c r="A40" s="4" t="inlineStr">
        <is>
          <t>ADIDAS Yeezy 700 V3 Mono Safflower T.38 — occasion</t>
        </is>
      </c>
      <c r="B40" s="5" t="n">
        <v>63</v>
      </c>
      <c r="C40" s="6">
        <f>$B40+$G40*Paramètres!$B$13</f>
        <v/>
      </c>
      <c r="D40" s="13" t="n"/>
      <c r="E40" s="7">
        <f>IF($D40="","",$D40-$C40-$K40-$L40)</f>
        <v/>
      </c>
      <c r="F40" s="8">
        <f>IF($E40="","",$E40/$C40)</f>
        <v/>
      </c>
      <c r="G40" s="9" t="n">
        <v>1</v>
      </c>
      <c r="H40" s="6">
        <f>$C40/$G40</f>
        <v/>
      </c>
      <c r="I40" s="6">
        <f>IF($D40="","",$D40/$G40)</f>
        <v/>
      </c>
      <c r="J40" s="6">
        <f>IF($E40="","",$E40/$G40)</f>
        <v/>
      </c>
      <c r="K40" s="10">
        <f>IF($D40="","",$D40*(Paramètres!$B$5+Paramètres!$B$6))</f>
        <v/>
      </c>
      <c r="L40" s="6" t="n">
        <v>0</v>
      </c>
      <c r="M40" s="11" t="n">
        <v>50</v>
      </c>
      <c r="N40" s="11" t="n">
        <v>13</v>
      </c>
      <c r="O40" s="12" t="inlineStr">
        <is>
          <t>ADN Le Mans</t>
        </is>
      </c>
      <c r="P40" s="12" t="inlineStr">
        <is>
          <t>10/08/2026</t>
        </is>
      </c>
      <c r="Q40" s="12" t="inlineStr">
        <is>
          <t>FB2026-46056</t>
        </is>
      </c>
      <c r="R40" s="12" t="inlineStr">
        <is>
          <t>8</t>
        </is>
      </c>
      <c r="S40" s="4" t="inlineStr">
        <is>
          <t>Vinted, authentification</t>
        </is>
      </c>
      <c r="T40" s="4" t="inlineStr"/>
      <c r="U40" s="4" t="inlineStr">
        <is>
          <t>PRIX À ÉTABLIR</t>
        </is>
      </c>
      <c r="V40" s="4" t="inlineStr"/>
    </row>
    <row r="41">
      <c r="A41" s="23" t="inlineStr">
        <is>
          <t>T-shirt BALENCIAGA T.2 — neuf</t>
        </is>
      </c>
      <c r="B41" s="24" t="n">
        <v>113.4</v>
      </c>
      <c r="C41" s="25">
        <f>$B41+$G41*Paramètres!$B$13</f>
        <v/>
      </c>
      <c r="D41" s="26" t="n"/>
      <c r="E41" s="27">
        <f>IF($D41="","",$D41-$C41-$K41-$L41)</f>
        <v/>
      </c>
      <c r="F41" s="28">
        <f>IF($E41="","",$E41/$C41)</f>
        <v/>
      </c>
      <c r="G41" s="29" t="n">
        <v>1</v>
      </c>
      <c r="H41" s="25">
        <f>$C41/$G41</f>
        <v/>
      </c>
      <c r="I41" s="25">
        <f>IF($D41="","",$D41/$G41)</f>
        <v/>
      </c>
      <c r="J41" s="25">
        <f>IF($E41="","",$E41/$G41)</f>
        <v/>
      </c>
      <c r="K41" s="30">
        <f>IF($D41="","",$D41*(Paramètres!$B$5+Paramètres!$B$6))</f>
        <v/>
      </c>
      <c r="L41" s="25">
        <f>IF($D41="","",$D41*Paramètres!$B$7)</f>
        <v/>
      </c>
      <c r="M41" s="31" t="n">
        <v>90</v>
      </c>
      <c r="N41" s="31" t="n">
        <v>23.4</v>
      </c>
      <c r="O41" s="32" t="inlineStr">
        <is>
          <t>ADN Le Mans</t>
        </is>
      </c>
      <c r="P41" s="32" t="inlineStr">
        <is>
          <t>03/08/2026</t>
        </is>
      </c>
      <c r="Q41" s="32" t="inlineStr">
        <is>
          <t>FB2026-44194</t>
        </is>
      </c>
      <c r="R41" s="32" t="inlineStr">
        <is>
          <t>9</t>
        </is>
      </c>
      <c r="S41" s="23" t="inlineStr">
        <is>
          <t>Boutique</t>
        </is>
      </c>
      <c r="T41" s="23" t="inlineStr"/>
      <c r="U41" s="23" t="inlineStr">
        <is>
          <t>PRIX À ÉTABLIR</t>
        </is>
      </c>
      <c r="V41" s="23" t="inlineStr"/>
    </row>
    <row r="42">
      <c r="A42" s="33" t="inlineStr">
        <is>
          <t>TOTAL — 36 lots</t>
        </is>
      </c>
      <c r="B42" s="34">
        <f>SUM(B6:B41)</f>
        <v/>
      </c>
      <c r="C42" s="34">
        <f>SUM(C6:C41)</f>
        <v/>
      </c>
      <c r="D42" s="34">
        <f>SUM(D6:D41)</f>
        <v/>
      </c>
      <c r="E42" s="34">
        <f>SUM(E6:E41)</f>
        <v/>
      </c>
      <c r="F42" s="35">
        <f>E42/C42</f>
        <v/>
      </c>
      <c r="G42" s="36">
        <f>SUM(G6:G41)</f>
        <v/>
      </c>
      <c r="H42" s="37" t="n"/>
      <c r="I42" s="37" t="n"/>
      <c r="J42" s="37" t="n"/>
      <c r="K42" s="34">
        <f>SUM(K6:K41)</f>
        <v/>
      </c>
      <c r="L42" s="34">
        <f>SUM(L6:L41)</f>
        <v/>
      </c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</row>
  </sheetData>
  <autoFilter ref="A5:V41"/>
  <conditionalFormatting sqref="E6:E41">
    <cfRule type="cellIs" priority="1" operator="lessThan" dxfId="0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8" t="inlineStr">
        <is>
          <t>CAPITAL ENGAGÉ</t>
        </is>
      </c>
    </row>
    <row r="4">
      <c r="A4" s="39" t="inlineStr">
        <is>
          <t>Marchandise ADN</t>
        </is>
      </c>
      <c r="B4" s="6" t="n">
        <v>1637.35</v>
      </c>
    </row>
    <row r="5">
      <c r="A5" s="39" t="inlineStr">
        <is>
          <t>Livraison ADN</t>
        </is>
      </c>
      <c r="B5" s="6">
        <f>Paramètres!B11</f>
        <v/>
      </c>
    </row>
    <row r="6">
      <c r="A6" s="39" t="inlineStr">
        <is>
          <t>Achats hors ADN (pompes, Pokémon)</t>
        </is>
      </c>
      <c r="B6" s="6" t="n">
        <v>110</v>
      </c>
    </row>
    <row r="7">
      <c r="A7" s="40" t="inlineStr">
        <is>
          <t>TOTAL ENGAGÉ</t>
        </is>
      </c>
      <c r="B7" s="34">
        <f>'Stock complet'!C42</f>
        <v/>
      </c>
    </row>
    <row r="9">
      <c r="A9" s="38" t="inlineStr">
        <is>
          <t>CHIFFRE D'AFFAIRES ET MARGE</t>
        </is>
      </c>
    </row>
    <row r="10">
      <c r="A10" s="40" t="inlineStr">
        <is>
          <t>Chiffre d'affaires attendu</t>
        </is>
      </c>
      <c r="B10" s="7">
        <f>'Stock complet'!D42</f>
        <v/>
      </c>
      <c r="C10" s="2" t="inlineStr">
        <is>
          <t>hors lots dont le prix reste à établir</t>
        </is>
      </c>
    </row>
    <row r="11">
      <c r="A11" s="39" t="inlineStr">
        <is>
          <t>− URSSAF + CFP</t>
        </is>
      </c>
      <c r="B11" s="10">
        <f>-'Stock complet'!K42</f>
        <v/>
      </c>
    </row>
    <row r="12">
      <c r="A12" s="39" t="inlineStr">
        <is>
          <t>− Commission carte</t>
        </is>
      </c>
      <c r="B12" s="6">
        <f>-'Stock complet'!L42</f>
        <v/>
      </c>
    </row>
    <row r="13">
      <c r="A13" s="40">
        <f> Marge brute</f>
        <v/>
      </c>
      <c r="B13" s="34">
        <f>'Stock complet'!E42</f>
        <v/>
      </c>
    </row>
    <row r="14">
      <c r="A14" s="39" t="inlineStr">
        <is>
          <t>− Emballage</t>
        </is>
      </c>
      <c r="B14" s="6">
        <f>-Paramètres!B20*Paramètres!B21</f>
        <v/>
      </c>
    </row>
    <row r="15">
      <c r="A15" s="39" t="inlineStr">
        <is>
          <t>− Frais fixe carte</t>
        </is>
      </c>
      <c r="B15" s="6">
        <f>-Paramètres!B8*Paramètres!B21</f>
        <v/>
      </c>
    </row>
    <row r="16">
      <c r="A16" s="40">
        <f> Marge avant impôt</f>
        <v/>
      </c>
      <c r="B16" s="34">
        <f>B13+B14+B15</f>
        <v/>
      </c>
    </row>
    <row r="17">
      <c r="A17" s="39" t="inlineStr">
        <is>
          <t>Base imposable</t>
        </is>
      </c>
      <c r="B17" s="6">
        <f>B10*(1-Paramètres!B16)</f>
        <v/>
      </c>
    </row>
    <row r="18">
      <c r="A18" s="39" t="inlineStr">
        <is>
          <t>− Impôt estimé</t>
        </is>
      </c>
      <c r="B18" s="6">
        <f>-B17*Paramètres!B17</f>
        <v/>
      </c>
    </row>
    <row r="19">
      <c r="A19" s="40">
        <f> CE QUI RESTE</f>
        <v/>
      </c>
      <c r="B19" s="41">
        <f>B16+B18</f>
        <v/>
      </c>
    </row>
    <row r="21">
      <c r="A21" s="38" t="inlineStr">
        <is>
          <t>RENDEMENT</t>
        </is>
      </c>
    </row>
    <row r="22">
      <c r="A22" s="39" t="inlineStr">
        <is>
          <t>Marge nette / capital engagé</t>
        </is>
      </c>
      <c r="B22" s="42">
        <f>B19/B7</f>
        <v/>
      </c>
    </row>
    <row r="23">
      <c r="A23" s="39" t="inlineStr">
        <is>
          <t>Articles physiques</t>
        </is>
      </c>
      <c r="B23" s="43">
        <f>'Stock complet'!G42</f>
        <v/>
      </c>
    </row>
    <row r="25">
      <c r="A25" s="38" t="inlineStr">
        <is>
          <t>À FAIRE</t>
        </is>
      </c>
    </row>
    <row r="26">
      <c r="A26" s="39" t="inlineStr">
        <is>
          <t>8 lots sans prix de vente (lignes jaunes) : Balenciaga, sac Karl Lagerfeld, Hoka, Nike Air Max,</t>
        </is>
      </c>
    </row>
    <row r="27">
      <c r="A27" s="39" t="inlineStr">
        <is>
          <t>Lacoste, veste Armani Exchange, 2 lots Beyblade. Prix marché à vérifier avant de les chiffrer.</t>
        </is>
      </c>
    </row>
    <row r="28">
      <c r="A28" s="39" t="inlineStr">
        <is>
          <t>Facture manquante : lot n°84, les 2 pompes Robby.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8" t="inlineStr">
        <is>
          <t>CHARGES SUR LE CHIFFRE D'AFFAIRES</t>
        </is>
      </c>
    </row>
    <row r="5">
      <c r="A5" s="39" t="inlineStr">
        <is>
          <t>Cotisations URSSAF (achat-revente BIC)</t>
        </is>
      </c>
      <c r="B5" s="44" t="n">
        <v>0.123</v>
      </c>
      <c r="C5" s="2" t="inlineStr">
        <is>
          <t>À confirmer sur autoentrepreneur.urssaf.fr</t>
        </is>
      </c>
    </row>
    <row r="6">
      <c r="A6" s="39" t="inlineStr">
        <is>
          <t>CFP — formation professionnelle</t>
        </is>
      </c>
      <c r="B6" s="44" t="n">
        <v>0.001</v>
      </c>
    </row>
    <row r="7">
      <c r="A7" s="39" t="inlineStr">
        <is>
          <t>Commission carte Shopify Payments</t>
        </is>
      </c>
      <c r="B7" s="44" t="n">
        <v>0.015</v>
      </c>
      <c r="C7" s="2" t="inlineStr">
        <is>
          <t>Boutique uniquement</t>
        </is>
      </c>
    </row>
    <row r="8">
      <c r="A8" s="39" t="inlineStr">
        <is>
          <t>Frais fixe par transaction carte</t>
        </is>
      </c>
      <c r="B8" s="45" t="n">
        <v>0.25</v>
      </c>
    </row>
    <row r="10">
      <c r="A10" s="38" t="inlineStr">
        <is>
          <t>LIVRAISON DES LOTS</t>
        </is>
      </c>
    </row>
    <row r="11">
      <c r="A11" s="39" t="inlineStr">
        <is>
          <t>Total des factures de livraison ADN</t>
        </is>
      </c>
      <c r="B11" s="5" t="n">
        <v>127.8</v>
      </c>
      <c r="C11" s="2" t="inlineStr">
        <is>
          <t>5 factures Colissimo Point Relais</t>
        </is>
      </c>
    </row>
    <row r="12">
      <c r="A12" s="39" t="inlineStr">
        <is>
          <t>Nombre d'articles physiques reçus d'ADN</t>
        </is>
      </c>
      <c r="B12" s="9" t="n">
        <v>79</v>
      </c>
      <c r="C12" s="2" t="inlineStr">
        <is>
          <t>les lots comptent pour leur nombre de pièces</t>
        </is>
      </c>
    </row>
    <row r="13">
      <c r="A13" s="39" t="inlineStr">
        <is>
          <t>Livraison par article</t>
        </is>
      </c>
      <c r="B13" s="6">
        <f>B11/B12</f>
        <v/>
      </c>
      <c r="C13" s="2" t="inlineStr">
        <is>
          <t>réparti au nombre d'articles, pas au prix</t>
        </is>
      </c>
    </row>
    <row r="15">
      <c r="A15" s="38" t="inlineStr">
        <is>
          <t>IMPÔT SUR LE REVENU — MICRO-BIC</t>
        </is>
      </c>
    </row>
    <row r="16">
      <c r="A16" s="39" t="inlineStr">
        <is>
          <t>Abattement forfaitaire</t>
        </is>
      </c>
      <c r="B16" s="44" t="n">
        <v>0.71</v>
      </c>
      <c r="C16" s="2" t="inlineStr">
        <is>
          <t>Versement libératoire NON retenu</t>
        </is>
      </c>
    </row>
    <row r="17">
      <c r="A17" s="39" t="inlineStr">
        <is>
          <t>Tranche marginale du foyer</t>
        </is>
      </c>
      <c r="B17" s="44" t="n">
        <v>0.11</v>
      </c>
      <c r="C17" s="2" t="inlineStr">
        <is>
          <t>0 %, 11 %, 30 %… à ajuster</t>
        </is>
      </c>
    </row>
    <row r="19">
      <c r="A19" s="38" t="inlineStr">
        <is>
          <t>FRAIS DE VENTE</t>
        </is>
      </c>
    </row>
    <row r="20">
      <c r="A20" s="39" t="inlineStr">
        <is>
          <t>Emballage par colis</t>
        </is>
      </c>
      <c r="B20" s="45" t="n">
        <v>2</v>
      </c>
    </row>
    <row r="21">
      <c r="A21" s="39" t="inlineStr">
        <is>
          <t>Nombre d'annonces prévues</t>
        </is>
      </c>
      <c r="B21" s="46" t="n">
        <v>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6" t="n">
        <v>80</v>
      </c>
      <c r="H5" s="6" t="n">
        <v>20.8</v>
      </c>
      <c r="I5" s="6" t="n">
        <v>0</v>
      </c>
      <c r="J5" s="6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6" t="n">
        <v>20</v>
      </c>
      <c r="H6" s="6" t="n">
        <v>5.2</v>
      </c>
      <c r="I6" s="6" t="n">
        <v>0</v>
      </c>
      <c r="J6" s="6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6" t="n">
        <v>30</v>
      </c>
      <c r="H7" s="6" t="n">
        <v>7.8</v>
      </c>
      <c r="I7" s="6" t="n">
        <v>0</v>
      </c>
      <c r="J7" s="6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6" t="n">
        <v>30</v>
      </c>
      <c r="H8" s="6" t="n">
        <v>7.8</v>
      </c>
      <c r="I8" s="6" t="n">
        <v>0</v>
      </c>
      <c r="J8" s="6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6" t="n">
        <v>50</v>
      </c>
      <c r="H9" s="6" t="n">
        <v>13</v>
      </c>
      <c r="I9" s="6" t="n">
        <v>0</v>
      </c>
      <c r="J9" s="6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6" t="n">
        <v>40</v>
      </c>
      <c r="H10" s="6" t="n">
        <v>10.4</v>
      </c>
      <c r="I10" s="6" t="n">
        <v>0</v>
      </c>
      <c r="J10" s="6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6" t="n">
        <v>10</v>
      </c>
      <c r="H11" s="6" t="n">
        <v>2.6</v>
      </c>
      <c r="I11" s="6" t="n">
        <v>0</v>
      </c>
      <c r="J11" s="6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6" t="n">
        <v>60</v>
      </c>
      <c r="H12" s="6" t="n">
        <v>15.6</v>
      </c>
      <c r="I12" s="6" t="n">
        <v>0</v>
      </c>
      <c r="J12" s="6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6" t="n">
        <v>30</v>
      </c>
      <c r="H13" s="6" t="n">
        <v>7.8</v>
      </c>
      <c r="I13" s="6" t="n">
        <v>0</v>
      </c>
      <c r="J13" s="6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6" t="n">
        <v>40</v>
      </c>
      <c r="H14" s="6" t="n">
        <v>10.4</v>
      </c>
      <c r="I14" s="6" t="n">
        <v>0</v>
      </c>
      <c r="J14" s="6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6" t="n">
        <v>30</v>
      </c>
      <c r="H15" s="6" t="n">
        <v>7.8</v>
      </c>
      <c r="I15" s="6" t="n">
        <v>0</v>
      </c>
      <c r="J15" s="6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6" t="n">
        <v>40</v>
      </c>
      <c r="H16" s="6" t="n">
        <v>10.4</v>
      </c>
      <c r="I16" s="6" t="n">
        <v>0</v>
      </c>
      <c r="J16" s="6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6" t="n">
        <v>30</v>
      </c>
      <c r="H17" s="6" t="n">
        <v>7.8</v>
      </c>
      <c r="I17" s="6" t="n">
        <v>0</v>
      </c>
      <c r="J17" s="6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6" t="n">
        <v>20</v>
      </c>
      <c r="H18" s="6" t="n">
        <v>5.2</v>
      </c>
      <c r="I18" s="6" t="n">
        <v>0</v>
      </c>
      <c r="J18" s="6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6" t="n">
        <v>30</v>
      </c>
      <c r="H19" s="6" t="n">
        <v>7.8</v>
      </c>
      <c r="I19" s="6" t="n">
        <v>0.54</v>
      </c>
      <c r="J19" s="6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6" t="n">
        <v>45</v>
      </c>
      <c r="H20" s="6" t="n">
        <v>11.7</v>
      </c>
      <c r="I20" s="6" t="n">
        <v>0.8100000000000001</v>
      </c>
      <c r="J20" s="6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6" t="n">
        <v>40</v>
      </c>
      <c r="H21" s="6" t="n">
        <v>10.4</v>
      </c>
      <c r="I21" s="6" t="n">
        <v>0.72</v>
      </c>
      <c r="J21" s="6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6" t="n">
        <v>17</v>
      </c>
      <c r="H22" s="6" t="n">
        <v>4.42</v>
      </c>
      <c r="I22" s="6" t="n">
        <v>0.31</v>
      </c>
      <c r="J22" s="6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6" t="n">
        <v>40</v>
      </c>
      <c r="H23" s="6" t="n">
        <v>10.4</v>
      </c>
      <c r="I23" s="6" t="n">
        <v>0.72</v>
      </c>
      <c r="J23" s="6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6" t="n">
        <v>41</v>
      </c>
      <c r="H24" s="6" t="n">
        <v>10.66</v>
      </c>
      <c r="I24" s="6" t="n">
        <v>0.74</v>
      </c>
      <c r="J24" s="6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6" t="n">
        <v>45</v>
      </c>
      <c r="H25" s="6" t="n">
        <v>11.7</v>
      </c>
      <c r="I25" s="6" t="n">
        <v>0.8100000000000001</v>
      </c>
      <c r="J25" s="6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6" t="n">
        <v>20</v>
      </c>
      <c r="H26" s="6" t="n">
        <v>5.2</v>
      </c>
      <c r="I26" s="6" t="n">
        <v>0.36</v>
      </c>
      <c r="J26" s="6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6" t="n">
        <v>16</v>
      </c>
      <c r="H27" s="6" t="n">
        <v>4.16</v>
      </c>
      <c r="I27" s="6" t="n">
        <v>0.29</v>
      </c>
      <c r="J27" s="6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6" t="n">
        <v>25</v>
      </c>
      <c r="H28" s="6" t="n">
        <v>6.5</v>
      </c>
      <c r="I28" s="6" t="n">
        <v>0.45</v>
      </c>
      <c r="J28" s="6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6" t="n">
        <v>60</v>
      </c>
      <c r="H29" s="6" t="n">
        <v>15.6</v>
      </c>
      <c r="I29" s="6" t="n">
        <v>1.08</v>
      </c>
      <c r="J29" s="6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6" t="n">
        <v>15</v>
      </c>
      <c r="H30" s="6" t="n">
        <v>3.9</v>
      </c>
      <c r="I30" s="6" t="n">
        <v>0.27</v>
      </c>
      <c r="J30" s="6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6" t="n">
        <v>30</v>
      </c>
      <c r="H31" s="6" t="n">
        <v>7.8</v>
      </c>
      <c r="I31" s="6" t="n">
        <v>0.54</v>
      </c>
      <c r="J31" s="6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6" t="n">
        <v>90</v>
      </c>
      <c r="H32" s="6" t="n">
        <v>23.4</v>
      </c>
      <c r="I32" s="6" t="n">
        <v>0</v>
      </c>
      <c r="J32" s="6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6" t="n">
        <v>40</v>
      </c>
      <c r="H33" s="6" t="n">
        <v>10.4</v>
      </c>
      <c r="I33" s="6" t="n">
        <v>0</v>
      </c>
      <c r="J33" s="6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6" t="n">
        <v>50</v>
      </c>
      <c r="H34" s="6" t="n">
        <v>13</v>
      </c>
      <c r="I34" s="6" t="n">
        <v>0</v>
      </c>
      <c r="J34" s="6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6" t="n">
        <v>30</v>
      </c>
      <c r="H35" s="6" t="n">
        <v>7.8</v>
      </c>
      <c r="I35" s="6" t="n">
        <v>0</v>
      </c>
      <c r="J35" s="6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6" t="n">
        <v>50</v>
      </c>
      <c r="H36" s="6" t="n">
        <v>13</v>
      </c>
      <c r="I36" s="6" t="n">
        <v>0</v>
      </c>
      <c r="J36" s="6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6" t="n">
        <v>60</v>
      </c>
      <c r="H37" s="6" t="n">
        <v>8.57</v>
      </c>
      <c r="I37" s="6" t="n">
        <v>0</v>
      </c>
      <c r="J37" s="6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6" t="n">
        <v>45</v>
      </c>
      <c r="H38" s="6" t="n">
        <v>11.7</v>
      </c>
      <c r="I38" s="6" t="n">
        <v>0</v>
      </c>
      <c r="J38" s="6" t="n">
        <v>56.7</v>
      </c>
    </row>
    <row r="39">
      <c r="A39" s="37" t="n"/>
      <c r="B39" s="37" t="n"/>
      <c r="C39" s="37" t="n"/>
      <c r="D39" s="37" t="n"/>
      <c r="E39" s="37" t="n"/>
      <c r="F39" s="33" t="inlineStr">
        <is>
          <t>TOTAL MARCHANDISE</t>
        </is>
      </c>
      <c r="G39" s="34">
        <f>SUM(G5:G38)</f>
        <v/>
      </c>
      <c r="H39" s="34">
        <f>SUM(H5:H38)</f>
        <v/>
      </c>
      <c r="I39" s="34">
        <f>SUM(I5:I38)</f>
        <v/>
      </c>
      <c r="J39" s="34">
        <f>SUM(J5:J38)</f>
        <v/>
      </c>
    </row>
    <row r="41">
      <c r="A41" s="38" t="inlineStr">
        <is>
          <t>FACTURES DE LIVRAISON</t>
        </is>
      </c>
    </row>
    <row r="42">
      <c r="A42" s="47" t="inlineStr">
        <is>
          <t>Facture</t>
        </is>
      </c>
      <c r="B42" s="47" t="inlineStr">
        <is>
          <t>Date</t>
        </is>
      </c>
      <c r="C42" s="47" t="inlineStr">
        <is>
          <t>Maison</t>
        </is>
      </c>
      <c r="D42" s="47" t="inlineStr">
        <is>
          <t>Commande</t>
        </is>
      </c>
      <c r="E42" s="47" t="inlineStr">
        <is>
          <t>Désignation</t>
        </is>
      </c>
      <c r="F42" s="47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6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6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6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6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6" t="n">
        <v>44.02</v>
      </c>
    </row>
    <row r="48">
      <c r="A48" s="37" t="n"/>
      <c r="B48" s="37" t="n"/>
      <c r="C48" s="37" t="n"/>
      <c r="D48" s="37" t="n"/>
      <c r="E48" s="33" t="inlineStr">
        <is>
          <t>TOTAL LIVRAISON</t>
        </is>
      </c>
      <c r="F48" s="34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2026-08-13T22:13:28Z</dcterms:created>
  <dcterms:modified xsi:type="dcterms:W3CDTF">2026-08-13T22:13:28Z</dcterms:modified>
</cp:coreProperties>
</file>