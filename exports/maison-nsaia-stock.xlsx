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Booster Box Pokémon MEGA Nihil Zero (Munikis Zero) M3 — 30 boosters — 6 lots de 5 à 17 €</t>
        </is>
      </c>
      <c r="B19" s="5" t="n">
        <v>69.23999999999999</v>
      </c>
      <c r="C19" s="6">
        <f>$B19</f>
        <v/>
      </c>
      <c r="D19" s="7">
        <f>$C19/(1-Paramètres!$B$5-Paramètres!$B$6)</f>
        <v/>
      </c>
      <c r="E19" s="6">
        <f>CEILING($D19*Paramètres!$B$24,1)</f>
        <v/>
      </c>
      <c r="F19" s="8" t="n">
        <v>102</v>
      </c>
      <c r="G19" s="8">
        <f>IF($F19="","",$F19-$C19-$M19-$N19)</f>
        <v/>
      </c>
      <c r="H19" s="9">
        <f>IF($G19="","",$G19/$C19)</f>
        <v/>
      </c>
      <c r="I19" s="10" t="n">
        <v>6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22" t="n"/>
      <c r="P19" s="22" t="n"/>
      <c r="Q19" s="12" t="inlineStr">
        <is>
          <t>Meccha Japan</t>
        </is>
      </c>
      <c r="R19" s="12" t="inlineStr">
        <is>
          <t>03/08/2026</t>
        </is>
      </c>
      <c r="S19" s="12" t="inlineStr">
        <is>
          <t>#FA429713</t>
        </is>
      </c>
      <c r="T19" s="12" t="inlineStr">
        <is>
          <t>4521329432274</t>
        </is>
      </c>
      <c r="U19" s="4" t="inlineStr">
        <is>
          <t>Leboncoin, lots de 5</t>
        </is>
      </c>
      <c r="V19" s="4" t="inlineStr"/>
      <c r="W19" s="4" t="inlineStr">
        <is>
          <t>Normal</t>
        </is>
      </c>
      <c r="X19" s="4" t="inlineStr"/>
      <c r="Y19" s="4" t="n">
        <v>6</v>
      </c>
    </row>
    <row r="20">
      <c r="A20" s="4" t="inlineStr">
        <is>
          <t>Ballerines MASSIMO DUTTI P.41 — traces d'essayage</t>
        </is>
      </c>
      <c r="B20" s="5" t="n">
        <v>25.2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20</v>
      </c>
      <c r="P20" s="11" t="n">
        <v>5.2</v>
      </c>
      <c r="Q20" s="12" t="inlineStr">
        <is>
          <t>ADN Le Mans</t>
        </is>
      </c>
      <c r="R20" s="12" t="inlineStr">
        <is>
          <t>28/07/2026</t>
        </is>
      </c>
      <c r="S20" s="12" t="inlineStr">
        <is>
          <t>FB2026-43716</t>
        </is>
      </c>
      <c r="T20" s="12" t="inlineStr">
        <is>
          <t>439</t>
        </is>
      </c>
      <c r="U20" s="4" t="inlineStr">
        <is>
          <t>Leboncoin + eBay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PIER ANTONIO GASPARI robe droite bleu marine T.42 — neuve</t>
        </is>
      </c>
      <c r="B21" s="5" t="n">
        <v>25.56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20</v>
      </c>
      <c r="P21" s="11" t="n">
        <v>5.2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29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PHILIPP PLEIN SPORT baskets montantes P.40 — neuves</t>
        </is>
      </c>
      <c r="B22" s="5" t="n">
        <v>57.51</v>
      </c>
      <c r="C22" s="6">
        <f>$B22+$Y22*Paramètres!$B$13</f>
        <v/>
      </c>
      <c r="D22" s="7">
        <f>$C22/(1-Paramètres!$B$5-Paramètres!$B$6)</f>
        <v/>
      </c>
      <c r="E22" s="6">
        <f>CEILING($D22*Paramètres!$B$24,1)</f>
        <v/>
      </c>
      <c r="F22" s="8" t="n">
        <v>89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11" t="n">
        <v>45</v>
      </c>
      <c r="P22" s="11" t="n">
        <v>11.7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FB2026-6023</t>
        </is>
      </c>
      <c r="T22" s="12" t="inlineStr">
        <is>
          <t>159</t>
        </is>
      </c>
      <c r="U22" s="4" t="inlineStr">
        <is>
          <t>Leboncoin + eBay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Baskets NIKE Air Max Moto 2K P.44.5 — neuves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170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Baskets HOKA P.37 1/3 — neuves</t>
        </is>
      </c>
      <c r="B33" s="14" t="n">
        <v>63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80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50</v>
      </c>
      <c r="P33" s="20" t="n">
        <v>13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FB2026-43716</t>
        </is>
      </c>
      <c r="T33" s="21" t="inlineStr">
        <is>
          <t>103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Pompe immergée ROBBY VP550W noir/gris — comme neuf, SOCLE CASSÉ</t>
        </is>
      </c>
      <c r="B41" s="5" t="n">
        <v>28.29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35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ERA Enchères Rhône-Alpes</t>
        </is>
      </c>
      <c r="R41" s="12" t="inlineStr">
        <is>
          <t>26/07/2026</t>
        </is>
      </c>
      <c r="S41" s="12" t="inlineStr">
        <is>
          <t>507148</t>
        </is>
      </c>
      <c r="T41" s="12" t="inlineStr">
        <is>
          <t>122</t>
        </is>
      </c>
      <c r="U41" s="4" t="inlineStr">
        <is>
          <t>Leboncoin, main propre</t>
        </is>
      </c>
      <c r="V41" s="4" t="inlineStr"/>
      <c r="W41" s="4" t="inlineStr">
        <is>
          <t>Marge faible</t>
        </is>
      </c>
      <c r="X41" s="4" t="inlineStr"/>
      <c r="Y41" s="4" t="n">
        <v>1</v>
      </c>
    </row>
    <row r="42">
      <c r="A42" s="4" t="inlineStr">
        <is>
          <t>Boosters Pokémon MEGA Storm Emeralda M6 ×2 — 5 cartes chacun — set sorti le 31/07/2026, publier vite</t>
        </is>
      </c>
      <c r="B42" s="5" t="n">
        <v>12.74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19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4521329462226</t>
        </is>
      </c>
      <c r="U42" s="4" t="inlineStr">
        <is>
          <t>Leboncoin, lot de 2</t>
        </is>
      </c>
      <c r="V42" s="4" t="inlineStr"/>
      <c r="W42" s="4" t="inlineStr">
        <is>
          <t>Normal</t>
        </is>
      </c>
      <c r="X42" s="4" t="inlineStr"/>
      <c r="Y42" s="4" t="n">
        <v>1</v>
      </c>
    </row>
    <row r="43">
      <c r="A43" s="4" t="inlineStr">
        <is>
          <t>Booster Pokémon High Class Pack MEGA Dream ex M2a — 10 cartes</t>
        </is>
      </c>
      <c r="B43" s="5" t="n">
        <v>12.95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22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22" t="n"/>
      <c r="P43" s="22" t="n"/>
      <c r="Q43" s="12" t="inlineStr">
        <is>
          <t>Meccha Japan</t>
        </is>
      </c>
      <c r="R43" s="12" t="inlineStr">
        <is>
          <t>03/08/2026</t>
        </is>
      </c>
      <c r="S43" s="12" t="inlineStr">
        <is>
          <t>#FA429713</t>
        </is>
      </c>
      <c r="T43" s="12" t="inlineStr">
        <is>
          <t>4521329431925</t>
        </is>
      </c>
      <c r="U43" s="4" t="inlineStr">
        <is>
          <t>Prélevé — usage personnel</t>
        </is>
      </c>
      <c r="V43" s="4" t="inlineStr"/>
      <c r="W43" s="4" t="inlineStr">
        <is>
          <t>PRÉLEVÉ</t>
        </is>
      </c>
      <c r="X43" s="4" t="inlineStr"/>
      <c r="Y43" s="4" t="n">
        <v>1</v>
      </c>
    </row>
    <row r="44">
      <c r="A44" s="4" t="inlineStr">
        <is>
          <t>Pompe immergée ROBBY VP550W bleu et noir — occasion, NE MARCHE QU'EN MODE AUTO</t>
        </is>
      </c>
      <c r="B44" s="5" t="n">
        <v>19.41</v>
      </c>
      <c r="C44" s="6">
        <f>$B44</f>
        <v/>
      </c>
      <c r="D44" s="7">
        <f>$C44/(1-Paramètres!$B$5-Paramètres!$B$6)</f>
        <v/>
      </c>
      <c r="E44" s="6">
        <f>CEILING($D44*Paramètres!$B$24,1)</f>
        <v/>
      </c>
      <c r="F44" s="22" t="n"/>
      <c r="G44" s="8">
        <f>IF($F44="","",$F44-$C44-$M44-$N44)</f>
        <v/>
      </c>
      <c r="H44" s="9">
        <f>IF($G44="","",$G44/$C44)</f>
        <v/>
      </c>
      <c r="I44" s="10" t="n">
        <v>1</v>
      </c>
      <c r="J44" s="6">
        <f>$C44/$I44</f>
        <v/>
      </c>
      <c r="K44" s="6">
        <f>IF($F44="","",$F44/$I44)</f>
        <v/>
      </c>
      <c r="L44" s="6">
        <f>IF($G44="","",$G44/$I44)</f>
        <v/>
      </c>
      <c r="M44" s="7">
        <f>IF($F44="","",$F44*(Paramètres!$B$5+Paramètres!$B$6))</f>
        <v/>
      </c>
      <c r="N44" s="6" t="n">
        <v>0</v>
      </c>
      <c r="O44" s="22" t="n"/>
      <c r="P44" s="22" t="n"/>
      <c r="Q44" s="12" t="inlineStr">
        <is>
          <t>ERA Enchères Rhône-Alpes</t>
        </is>
      </c>
      <c r="R44" s="12" t="inlineStr">
        <is>
          <t>26/07/2026</t>
        </is>
      </c>
      <c r="S44" s="12" t="inlineStr">
        <is>
          <t>507148</t>
        </is>
      </c>
      <c r="T44" s="12" t="inlineStr">
        <is>
          <t>131</t>
        </is>
      </c>
      <c r="U44" s="4" t="inlineStr">
        <is>
          <t>Prélevée — usage personnel</t>
        </is>
      </c>
      <c r="V44" s="4" t="inlineStr"/>
      <c r="W44" s="4" t="inlineStr">
        <is>
          <t>PRÉLEVÉE</t>
        </is>
      </c>
      <c r="X44" s="4" t="inlineStr"/>
      <c r="Y44" s="4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2" t="inlineStr">
        <is>
          <t>TOTAL — 40 lots</t>
        </is>
      </c>
      <c r="B46" s="33">
        <f>SUM(B6:B45)</f>
        <v/>
      </c>
      <c r="C46" s="33">
        <f>SUM(C6:C45)</f>
        <v/>
      </c>
      <c r="D46" s="34" t="n"/>
      <c r="E46" s="34" t="n"/>
      <c r="F46" s="33">
        <f>SUM(F6:F45)</f>
        <v/>
      </c>
      <c r="G46" s="33">
        <f>SUM(G6:G45)</f>
        <v/>
      </c>
      <c r="H46" s="35">
        <f>G46/C46</f>
        <v/>
      </c>
      <c r="I46" s="36">
        <f>SUM(I6:I45)</f>
        <v/>
      </c>
      <c r="J46" s="34" t="n"/>
      <c r="K46" s="34" t="n"/>
      <c r="L46" s="34" t="n"/>
      <c r="M46" s="33">
        <f>SUM(M6:M45)</f>
        <v/>
      </c>
      <c r="N46" s="33">
        <f>SUM(N6:N45)</f>
        <v/>
      </c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178.53</v>
      </c>
    </row>
    <row r="7">
      <c r="A7" s="39" t="inlineStr">
        <is>
          <t>TOTAL ENGAGÉ</t>
        </is>
      </c>
      <c r="B7" s="33">
        <f>'Stock complet'!C46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complet'!M46</f>
        <v/>
      </c>
    </row>
    <row r="12">
      <c r="A12" s="38" t="inlineStr">
        <is>
          <t>− Commission carte</t>
        </is>
      </c>
      <c r="B12" s="6">
        <f>-'Stock complet'!N46</f>
        <v/>
      </c>
    </row>
    <row r="13">
      <c r="A13" s="39">
        <f> Marge brute</f>
        <v/>
      </c>
      <c r="B13" s="33">
        <f>'Stock complet'!G46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complet'!I46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2026-08-14T00:57:48Z</dcterms:created>
  <dcterms:modified xsi:type="dcterms:W3CDTF">2026-08-14T00:57:48Z</dcterms:modified>
</cp:coreProperties>
</file>